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</definedNames>
  <calcPr calcId="171027" fullCalcOnLoad="1"/>
</workbook>
</file>

<file path=xl/sharedStrings.xml><?xml version="1.0" encoding="utf-8"?>
<sst xmlns="http://schemas.openxmlformats.org/spreadsheetml/2006/main" count="332" uniqueCount="154">
  <si>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</si>
  <si>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</si>
  <si>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</si>
  <si>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</si>
  <si>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</si>
  <si>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</si>
  <si>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</si>
  <si>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</si>
  <si>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</si>
  <si>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</si>
  <si>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</si>
  <si>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</si>
  <si>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</si>
  <si>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</si>
  <si>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</si>
  <si>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</si>
  <si>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 dropdown unificado com insumos + preparos cadastrados.</t>
  </si>
  <si>
    <t xml:space="preserve">    - Coluna "Componente": PREENCHIDA AUTOMÁTICAMENTE a partir do Item.</t>
  </si>
  <si>
    <t xml:space="preserve">      (se o Item existe em Insumos → "insumo"; em Preparos → "preparo")</t>
  </si>
  <si>
    <t xml:space="preserve">    - Coluna "Unidade": PREENCHIDA AUTOMÁTICAMENTE a partir do Item.</t>
  </si>
  <si>
    <t xml:space="preserve">      (usa a unidade cadastrada do insumo ou a unidade de rendimento do preparo)</t>
  </si>
  <si>
    <t xml:space="preserve">  Ou seja: escolhe Preparo/Ficha + Item + Quantidade — o resto vem sozinho.</t>
  </si>
  <si>
    <t>• Se dois nomes iguais existirem em Insumos e Preparos, prevalece "insumo".</t>
  </si>
  <si>
    <t xml:space="preserve">  Evite repetir nomes entre as abas.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</si>
  <si>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</si>
  <si>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</si>
  <si>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</si>
  <si>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</si>
  <si>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</si>
  <si>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</si>
  <si>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</si>
  <si>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</si>
  <si>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</si>
  <si>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</si>
  <si>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</si>
  <si>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</si>
  <si>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(Composição): insumo | preparo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</si>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</sst>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1</v>
      </c>
    </row>
    <row r="28" spans="1:1" x14ac:dyDescent="0.25">
      <c r="A28" s="1" t="s">
        <v>24</v>
      </c>
    </row>
    <row r="29" spans="1:1" x14ac:dyDescent="0.25">
      <c r="A29" t="s">
        <v>25</v>
      </c>
    </row>
    <row r="30" spans="1:1" x14ac:dyDescent="0.25">
      <c r="A30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1</v>
      </c>
    </row>
    <row r="35" spans="1:1" x14ac:dyDescent="0.25">
      <c r="A35" s="1" t="s">
        <v>30</v>
      </c>
    </row>
    <row r="36" spans="1:1" x14ac:dyDescent="0.25">
      <c r="A36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37</v>
      </c>
    </row>
    <row r="43" spans="1:1" x14ac:dyDescent="0.25">
      <c r="A43" t="s">
        <v>38</v>
      </c>
    </row>
    <row r="44" spans="1:1" x14ac:dyDescent="0.25">
      <c r="A44" t="s">
        <v>1</v>
      </c>
    </row>
    <row r="45" spans="1:1" x14ac:dyDescent="0.25">
      <c r="A45" s="1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45</v>
      </c>
      <c r="B1" s="2" t="s">
        <v>46</v>
      </c>
      <c r="C1" s="2" t="s">
        <v>47</v>
      </c>
    </row>
    <row r="2" spans="1:3" x14ac:dyDescent="0.25">
      <c r="A2" t="s">
        <v>48</v>
      </c>
      <c r="B2" t="s">
        <v>49</v>
      </c>
      <c r="C2" t="s">
        <v>50</v>
      </c>
    </row>
    <row r="3" spans="1:3" x14ac:dyDescent="0.25">
      <c r="A3" t="s">
        <v>48</v>
      </c>
      <c r="B3" t="s">
        <v>51</v>
      </c>
      <c r="C3" t="s">
        <v>52</v>
      </c>
    </row>
    <row r="4" spans="1:3" x14ac:dyDescent="0.25">
      <c r="A4" t="s">
        <v>48</v>
      </c>
      <c r="B4" t="s">
        <v>53</v>
      </c>
      <c r="C4" t="s">
        <v>54</v>
      </c>
    </row>
    <row r="5" spans="1:3" x14ac:dyDescent="0.25">
      <c r="A5" t="s">
        <v>48</v>
      </c>
      <c r="B5" t="s">
        <v>55</v>
      </c>
      <c r="C5" t="s">
        <v>56</v>
      </c>
    </row>
    <row r="6" spans="1:3" x14ac:dyDescent="0.25">
      <c r="A6" t="s">
        <v>48</v>
      </c>
      <c r="B6" t="s">
        <v>57</v>
      </c>
      <c r="C6" t="s">
        <v>58</v>
      </c>
    </row>
    <row r="7" spans="1:3" x14ac:dyDescent="0.25">
      <c r="A7" t="s">
        <v>48</v>
      </c>
      <c r="B7" t="s">
        <v>59</v>
      </c>
      <c r="C7" t="s">
        <v>60</v>
      </c>
    </row>
    <row r="8" spans="1:3" x14ac:dyDescent="0.25">
      <c r="A8" t="s">
        <v>48</v>
      </c>
      <c r="B8" t="s">
        <v>61</v>
      </c>
      <c r="C8" t="s">
        <v>62</v>
      </c>
    </row>
    <row r="9" spans="1:3" x14ac:dyDescent="0.25">
      <c r="A9" t="s">
        <v>48</v>
      </c>
      <c r="B9" t="s">
        <v>63</v>
      </c>
      <c r="C9" t="s">
        <v>64</v>
      </c>
    </row>
    <row r="10" spans="1:3" x14ac:dyDescent="0.25">
      <c r="A10" t="s">
        <v>65</v>
      </c>
      <c r="B10" t="s">
        <v>66</v>
      </c>
      <c r="C10" t="s">
        <v>67</v>
      </c>
    </row>
    <row r="11" spans="1:3" x14ac:dyDescent="0.25">
      <c r="A11" t="s">
        <v>65</v>
      </c>
      <c r="B11" t="s">
        <v>68</v>
      </c>
      <c r="C11" t="s">
        <v>69</v>
      </c>
    </row>
    <row r="12" spans="1:3" x14ac:dyDescent="0.25">
      <c r="A12" t="s">
        <v>65</v>
      </c>
      <c r="B12" t="s">
        <v>70</v>
      </c>
      <c r="C12" t="s">
        <v>71</v>
      </c>
    </row>
    <row r="13" spans="1:3" x14ac:dyDescent="0.25">
      <c r="A13" t="s">
        <v>65</v>
      </c>
      <c r="B13" t="s">
        <v>72</v>
      </c>
      <c r="C13" t="s">
        <v>73</v>
      </c>
    </row>
    <row r="14" spans="1:3" x14ac:dyDescent="0.25">
      <c r="A14" t="s">
        <v>74</v>
      </c>
      <c r="B14" t="s">
        <v>75</v>
      </c>
      <c r="C14" t="s">
        <v>76</v>
      </c>
    </row>
    <row r="15" spans="1:3" x14ac:dyDescent="0.25">
      <c r="A15" t="s">
        <v>74</v>
      </c>
      <c r="B15" t="s">
        <v>77</v>
      </c>
      <c r="C15" t="s">
        <v>78</v>
      </c>
    </row>
    <row r="16" spans="1:3" x14ac:dyDescent="0.25">
      <c r="A16" t="s">
        <v>74</v>
      </c>
      <c r="B16" t="s">
        <v>70</v>
      </c>
      <c r="C16" t="s">
        <v>79</v>
      </c>
    </row>
    <row r="17" spans="1:3" x14ac:dyDescent="0.25">
      <c r="A17" t="s">
        <v>74</v>
      </c>
      <c r="B17" t="s">
        <v>80</v>
      </c>
      <c r="C17" t="s">
        <v>81</v>
      </c>
    </row>
    <row r="18" spans="1:3" x14ac:dyDescent="0.25">
      <c r="A18" t="s">
        <v>74</v>
      </c>
      <c r="B18" t="s">
        <v>82</v>
      </c>
      <c r="C18" t="s">
        <v>83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84</v>
      </c>
      <c r="B1" s="2" t="s">
        <v>46</v>
      </c>
      <c r="C1" s="2" t="s">
        <v>85</v>
      </c>
      <c r="D1" s="2" t="s">
        <v>86</v>
      </c>
      <c r="E1" s="2" t="s">
        <v>87</v>
      </c>
      <c r="F1" s="2" t="s">
        <v>88</v>
      </c>
      <c r="G1" s="2" t="s">
        <v>89</v>
      </c>
    </row>
    <row r="2" spans="1:7" x14ac:dyDescent="0.25">
      <c r="A2" t="s">
        <v>90</v>
      </c>
      <c r="B2" t="s">
        <v>51</v>
      </c>
      <c r="C2" t="s">
        <v>91</v>
      </c>
      <c r="D2" t="s">
        <v>92</v>
      </c>
      <c r="E2">
        <v>38</v>
      </c>
      <c r="F2">
        <v>95</v>
      </c>
      <c r="G2" t="s">
        <v>93</v>
      </c>
    </row>
    <row r="3" spans="1:7" x14ac:dyDescent="0.25">
      <c r="A3" t="s">
        <v>94</v>
      </c>
      <c r="B3" t="s">
        <v>57</v>
      </c>
      <c r="C3" t="s">
        <v>91</v>
      </c>
      <c r="D3" t="s">
        <v>92</v>
      </c>
      <c r="E3">
        <v>8</v>
      </c>
      <c r="F3">
        <v>100</v>
      </c>
      <c r="G3" t="s">
        <v>95</v>
      </c>
    </row>
    <row r="4" spans="1:7" x14ac:dyDescent="0.25">
      <c r="A4" t="s">
        <v>96</v>
      </c>
      <c r="B4" t="s">
        <v>49</v>
      </c>
      <c r="C4" t="s">
        <v>91</v>
      </c>
      <c r="D4" t="s">
        <v>92</v>
      </c>
      <c r="E4">
        <v>4</v>
      </c>
      <c r="F4">
        <v>85</v>
      </c>
      <c r="G4" t="s">
        <v>97</v>
      </c>
    </row>
    <row r="5" spans="1:7" x14ac:dyDescent="0.25">
      <c r="A5" t="s">
        <v>98</v>
      </c>
      <c r="B5" t="s">
        <v>49</v>
      </c>
      <c r="C5" t="s">
        <v>91</v>
      </c>
      <c r="D5" t="s">
        <v>92</v>
      </c>
      <c r="E5">
        <v>35</v>
      </c>
      <c r="F5">
        <v>80</v>
      </c>
      <c r="G5" t="s">
        <v>1</v>
      </c>
    </row>
    <row r="6" spans="1:7" x14ac:dyDescent="0.25">
      <c r="A6" t="s">
        <v>99</v>
      </c>
      <c r="B6" t="s">
        <v>55</v>
      </c>
      <c r="C6" t="s">
        <v>91</v>
      </c>
      <c r="D6" t="s">
        <v>100</v>
      </c>
      <c r="E6">
        <v>40</v>
      </c>
      <c r="F6">
        <v>100</v>
      </c>
      <c r="G6" t="s">
        <v>1</v>
      </c>
    </row>
    <row r="7" spans="1:7" x14ac:dyDescent="0.25">
      <c r="A7" t="s">
        <v>101</v>
      </c>
      <c r="B7" t="s">
        <v>53</v>
      </c>
      <c r="C7" t="s">
        <v>91</v>
      </c>
      <c r="D7" t="s">
        <v>92</v>
      </c>
      <c r="E7">
        <v>45</v>
      </c>
      <c r="F7">
        <v>100</v>
      </c>
      <c r="G7" t="s">
        <v>1</v>
      </c>
    </row>
    <row r="8" spans="1:7" x14ac:dyDescent="0.25">
      <c r="A8" t="s">
        <v>102</v>
      </c>
      <c r="B8" t="s">
        <v>53</v>
      </c>
      <c r="C8" t="s">
        <v>103</v>
      </c>
      <c r="D8" t="s">
        <v>92</v>
      </c>
      <c r="E8">
        <v>120</v>
      </c>
      <c r="F8">
        <v>100</v>
      </c>
      <c r="G8" t="s">
        <v>104</v>
      </c>
    </row>
    <row r="9" spans="1:7" x14ac:dyDescent="0.25">
      <c r="A9" t="s">
        <v>105</v>
      </c>
      <c r="B9" t="s">
        <v>55</v>
      </c>
      <c r="C9" t="s">
        <v>91</v>
      </c>
      <c r="D9" t="s">
        <v>92</v>
      </c>
      <c r="E9">
        <v>8</v>
      </c>
      <c r="F9">
        <v>100</v>
      </c>
      <c r="G9" t="s">
        <v>106</v>
      </c>
    </row>
    <row r="10" spans="1:7" x14ac:dyDescent="0.25">
      <c r="A10" t="s">
        <v>107</v>
      </c>
      <c r="B10" t="s">
        <v>55</v>
      </c>
      <c r="C10" t="s">
        <v>91</v>
      </c>
      <c r="D10" t="s">
        <v>108</v>
      </c>
      <c r="E10">
        <v>0.8</v>
      </c>
      <c r="F10">
        <v>100</v>
      </c>
      <c r="G10" t="s">
        <v>1</v>
      </c>
    </row>
    <row r="11" spans="1:7" x14ac:dyDescent="0.25">
      <c r="A11" t="s">
        <v>109</v>
      </c>
      <c r="B11" t="s">
        <v>53</v>
      </c>
      <c r="C11" t="s">
        <v>91</v>
      </c>
      <c r="D11" t="s">
        <v>92</v>
      </c>
      <c r="E11">
        <v>55</v>
      </c>
      <c r="F11">
        <v>100</v>
      </c>
      <c r="G11" t="s">
        <v>1</v>
      </c>
    </row>
    <row r="12" spans="1:7" x14ac:dyDescent="0.25">
      <c r="A12" t="s">
        <v>110</v>
      </c>
      <c r="B12" t="s">
        <v>53</v>
      </c>
      <c r="C12" t="s">
        <v>91</v>
      </c>
      <c r="D12" t="s">
        <v>100</v>
      </c>
      <c r="E12">
        <v>6.5</v>
      </c>
      <c r="F12">
        <v>100</v>
      </c>
      <c r="G12" t="s">
        <v>1</v>
      </c>
    </row>
    <row r="13" spans="1:7" x14ac:dyDescent="0.25">
      <c r="A13" t="s">
        <v>111</v>
      </c>
      <c r="B13" t="s">
        <v>59</v>
      </c>
      <c r="C13" t="s">
        <v>103</v>
      </c>
      <c r="D13" t="s">
        <v>108</v>
      </c>
      <c r="E13">
        <v>1.8</v>
      </c>
      <c r="F13">
        <v>100</v>
      </c>
      <c r="G13" t="s">
        <v>1</v>
      </c>
    </row>
    <row r="14" spans="1:7" x14ac:dyDescent="0.25">
      <c r="A14" t="s">
        <v>112</v>
      </c>
      <c r="B14" t="s">
        <v>55</v>
      </c>
      <c r="C14" t="s">
        <v>91</v>
      </c>
      <c r="D14" t="s">
        <v>92</v>
      </c>
      <c r="E14">
        <v>18</v>
      </c>
      <c r="F14">
        <v>100</v>
      </c>
      <c r="G14" t="s">
        <v>1</v>
      </c>
    </row>
    <row r="15" spans="1:7" x14ac:dyDescent="0.25">
      <c r="A15" t="s">
        <v>113</v>
      </c>
      <c r="B15" t="s">
        <v>51</v>
      </c>
      <c r="C15" t="s">
        <v>91</v>
      </c>
      <c r="D15" t="s">
        <v>92</v>
      </c>
      <c r="E15">
        <v>95</v>
      </c>
      <c r="F15">
        <v>60</v>
      </c>
      <c r="G15" t="s">
        <v>114</v>
      </c>
    </row>
    <row r="16" spans="1:7" x14ac:dyDescent="0.25">
      <c r="A16" t="s">
        <v>115</v>
      </c>
      <c r="B16" t="s">
        <v>55</v>
      </c>
      <c r="C16" t="s">
        <v>103</v>
      </c>
      <c r="D16" t="s">
        <v>108</v>
      </c>
      <c r="E16">
        <v>1.2</v>
      </c>
      <c r="F16">
        <v>100</v>
      </c>
      <c r="G16" t="s">
        <v>1</v>
      </c>
    </row>
    <row r="17" spans="1:7" x14ac:dyDescent="0.25">
      <c r="A17" t="s">
        <v>116</v>
      </c>
      <c r="B17" t="s">
        <v>55</v>
      </c>
      <c r="C17" t="s">
        <v>91</v>
      </c>
      <c r="D17" t="s">
        <v>92</v>
      </c>
      <c r="E17">
        <v>65</v>
      </c>
      <c r="F17">
        <v>100</v>
      </c>
      <c r="G17" t="s">
        <v>1</v>
      </c>
    </row>
    <row r="18" spans="1:7" x14ac:dyDescent="0.25">
      <c r="A18" t="s">
        <v>117</v>
      </c>
      <c r="B18" t="s">
        <v>63</v>
      </c>
      <c r="C18" t="s">
        <v>118</v>
      </c>
      <c r="D18" t="s">
        <v>108</v>
      </c>
      <c r="E18">
        <v>0.85</v>
      </c>
      <c r="F18">
        <v>100</v>
      </c>
      <c r="G18" t="s">
        <v>1</v>
      </c>
    </row>
    <row r="19" spans="1:7" x14ac:dyDescent="0.25">
      <c r="A19" t="s">
        <v>119</v>
      </c>
      <c r="B19" t="s">
        <v>61</v>
      </c>
      <c r="C19" t="s">
        <v>103</v>
      </c>
      <c r="D19" t="s">
        <v>108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84</v>
      </c>
      <c r="B1" s="2" t="s">
        <v>46</v>
      </c>
      <c r="C1" s="2" t="s">
        <v>120</v>
      </c>
      <c r="D1" s="2" t="s">
        <v>121</v>
      </c>
      <c r="E1" s="2" t="s">
        <v>89</v>
      </c>
    </row>
    <row r="2" spans="1:5" x14ac:dyDescent="0.25">
      <c r="A2" t="s">
        <v>122</v>
      </c>
      <c r="B2" t="s">
        <v>66</v>
      </c>
      <c r="C2">
        <v>2</v>
      </c>
      <c r="D2" t="s">
        <v>92</v>
      </c>
      <c r="E2" t="s">
        <v>123</v>
      </c>
    </row>
    <row r="3" spans="1:5" x14ac:dyDescent="0.25">
      <c r="A3" t="s">
        <v>124</v>
      </c>
      <c r="B3" t="s">
        <v>66</v>
      </c>
      <c r="C3">
        <v>1</v>
      </c>
      <c r="D3" t="s">
        <v>92</v>
      </c>
      <c r="E3" t="s">
        <v>125</v>
      </c>
    </row>
    <row r="4" spans="1:5" x14ac:dyDescent="0.25">
      <c r="A4" t="s">
        <v>126</v>
      </c>
      <c r="B4" t="s">
        <v>68</v>
      </c>
      <c r="C4">
        <v>3</v>
      </c>
      <c r="D4" t="s">
        <v>92</v>
      </c>
      <c r="E4" t="s">
        <v>127</v>
      </c>
    </row>
    <row r="5" spans="1:5" x14ac:dyDescent="0.25">
      <c r="A5" t="s">
        <v>128</v>
      </c>
      <c r="B5" t="s">
        <v>68</v>
      </c>
      <c r="C5">
        <v>1</v>
      </c>
      <c r="D5" t="s">
        <v>92</v>
      </c>
      <c r="E5" t="s">
        <v>129</v>
      </c>
    </row>
    <row r="6" spans="1:5" x14ac:dyDescent="0.25">
      <c r="A6" t="s">
        <v>130</v>
      </c>
      <c r="B6" t="s">
        <v>70</v>
      </c>
      <c r="C6">
        <v>1</v>
      </c>
      <c r="D6" t="s">
        <v>92</v>
      </c>
      <c r="E6" t="s">
        <v>131</v>
      </c>
    </row>
    <row r="7" spans="1:5" x14ac:dyDescent="0.25">
      <c r="A7" t="s">
        <v>132</v>
      </c>
      <c r="B7" t="s">
        <v>72</v>
      </c>
      <c r="C7">
        <v>5</v>
      </c>
      <c r="D7" t="s">
        <v>92</v>
      </c>
      <c r="E7" t="s">
        <v>133</v>
      </c>
    </row>
    <row r="8" spans="1:5" x14ac:dyDescent="0.25">
      <c r="A8" t="s">
        <v>134</v>
      </c>
      <c r="B8" t="s">
        <v>66</v>
      </c>
      <c r="C8">
        <v>10</v>
      </c>
      <c r="D8" t="s">
        <v>108</v>
      </c>
      <c r="E8" t="s">
        <v>135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84</v>
      </c>
      <c r="B1" s="2" t="s">
        <v>46</v>
      </c>
      <c r="C1" s="2" t="s">
        <v>136</v>
      </c>
      <c r="D1" s="2" t="s">
        <v>137</v>
      </c>
      <c r="E1" s="2" t="s">
        <v>89</v>
      </c>
    </row>
    <row r="2" spans="1:5" x14ac:dyDescent="0.25">
      <c r="A2" t="s">
        <v>138</v>
      </c>
      <c r="B2" t="s">
        <v>75</v>
      </c>
      <c r="C2">
        <v>32</v>
      </c>
      <c r="D2" t="s">
        <v>108</v>
      </c>
      <c r="E2" t="s">
        <v>1</v>
      </c>
    </row>
    <row r="3" spans="1:5" x14ac:dyDescent="0.25">
      <c r="A3" t="s">
        <v>139</v>
      </c>
      <c r="B3" t="s">
        <v>70</v>
      </c>
      <c r="C3">
        <v>68</v>
      </c>
      <c r="D3" t="s">
        <v>108</v>
      </c>
      <c r="E3" t="s">
        <v>140</v>
      </c>
    </row>
    <row r="4" spans="1:5" x14ac:dyDescent="0.25">
      <c r="A4" t="s">
        <v>141</v>
      </c>
      <c r="B4" t="s">
        <v>77</v>
      </c>
      <c r="C4">
        <v>54</v>
      </c>
      <c r="D4" t="s">
        <v>108</v>
      </c>
      <c r="E4" t="s">
        <v>142</v>
      </c>
    </row>
    <row r="5" spans="1:5" x14ac:dyDescent="0.25">
      <c r="A5" t="s">
        <v>143</v>
      </c>
      <c r="B5" t="s">
        <v>70</v>
      </c>
      <c r="C5">
        <v>89</v>
      </c>
      <c r="D5" t="s">
        <v>108</v>
      </c>
      <c r="E5" t="s">
        <v>1</v>
      </c>
    </row>
    <row r="6" spans="1:5" x14ac:dyDescent="0.25">
      <c r="A6" t="s">
        <v>144</v>
      </c>
      <c r="B6" t="s">
        <v>80</v>
      </c>
      <c r="C6">
        <v>38</v>
      </c>
      <c r="D6" t="s">
        <v>108</v>
      </c>
      <c r="E6" t="s">
        <v>145</v>
      </c>
    </row>
    <row r="7" spans="1:5" x14ac:dyDescent="0.25">
      <c r="A7" t="s">
        <v>146</v>
      </c>
      <c r="B7" t="s">
        <v>82</v>
      </c>
      <c r="C7">
        <v>12</v>
      </c>
      <c r="D7" t="s">
        <v>108</v>
      </c>
      <c r="E7" t="s">
        <v>1</v>
      </c>
    </row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99"/>
  <sheetFormatPr defaultRowHeight="15" outlineLevelRow="0" outlineLevelCol="0" x14ac:dyDescent="55"/>
  <cols>
    <col min="1" max="1" width="32" customWidth="1"/>
  </cols>
  <sheetData>
    <row r="1" spans="1:1" x14ac:dyDescent="0.25">
      <c r="A1" t="s">
        <v>147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148</v>
      </c>
      <c r="B1" s="2" t="s">
        <v>149</v>
      </c>
      <c r="C1" s="2" t="s">
        <v>150</v>
      </c>
      <c r="D1" s="2" t="s">
        <v>151</v>
      </c>
      <c r="E1" s="2" t="s">
        <v>152</v>
      </c>
    </row>
    <row r="2" spans="1:5" x14ac:dyDescent="0.25">
      <c r="A2" s="3" t="s">
        <v>122</v>
      </c>
      <c r="B2" s="4" t="str">
        <f>IF(C2="","",IF(ISNUMBER(MATCH(C2,Insumos!$A:$A,0)),"insumo",IF(ISNUMBER(MATCH(C2,Preparos!$A:$A,0)),"preparo","")))</f>
        <v>insumo</v>
      </c>
      <c r="C2" s="3" t="s">
        <v>94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122</v>
      </c>
      <c r="B3" s="4" t="str">
        <f>IF(C3="","",IF(ISNUMBER(MATCH(C3,Insumos!$A:$A,0)),"insumo",IF(ISNUMBER(MATCH(C3,Preparos!$A:$A,0)),"preparo","")))</f>
        <v>insumo</v>
      </c>
      <c r="C3" s="3" t="s">
        <v>96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122</v>
      </c>
      <c r="B4" s="4" t="str">
        <f>IF(C4="","",IF(ISNUMBER(MATCH(C4,Insumos!$A:$A,0)),"insumo",IF(ISNUMBER(MATCH(C4,Preparos!$A:$A,0)),"preparo","")))</f>
        <v>insumo</v>
      </c>
      <c r="C4" s="3" t="s">
        <v>98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122</v>
      </c>
      <c r="B5" s="4" t="str">
        <f>IF(C5="","",IF(ISNUMBER(MATCH(C5,Insumos!$A:$A,0)),"insumo",IF(ISNUMBER(MATCH(C5,Preparos!$A:$A,0)),"preparo","")))</f>
        <v>insumo</v>
      </c>
      <c r="C5" s="3" t="s">
        <v>99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124</v>
      </c>
      <c r="B6" s="4" t="str">
        <f>IF(C6="","",IF(ISNUMBER(MATCH(C6,Insumos!$A:$A,0)),"insumo",IF(ISNUMBER(MATCH(C6,Preparos!$A:$A,0)),"preparo","")))</f>
        <v>insumo</v>
      </c>
      <c r="C6" s="3" t="s">
        <v>109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124</v>
      </c>
      <c r="B7" s="4" t="str">
        <f>IF(C7="","",IF(ISNUMBER(MATCH(C7,Insumos!$A:$A,0)),"insumo",IF(ISNUMBER(MATCH(C7,Preparos!$A:$A,0)),"preparo","")))</f>
        <v>insumo</v>
      </c>
      <c r="C7" s="3" t="s">
        <v>105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124</v>
      </c>
      <c r="B8" s="4" t="str">
        <f>IF(C8="","",IF(ISNUMBER(MATCH(C8,Insumos!$A:$A,0)),"insumo",IF(ISNUMBER(MATCH(C8,Preparos!$A:$A,0)),"preparo","")))</f>
        <v>insumo</v>
      </c>
      <c r="C8" s="3" t="s">
        <v>110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130</v>
      </c>
      <c r="B9" s="4" t="str">
        <f>IF(C9="","",IF(ISNUMBER(MATCH(C9,Insumos!$A:$A,0)),"insumo",IF(ISNUMBER(MATCH(C9,Preparos!$A:$A,0)),"preparo","")))</f>
        <v>insumo</v>
      </c>
      <c r="C9" s="3" t="s">
        <v>105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130</v>
      </c>
      <c r="B10" s="4" t="str">
        <f>IF(C10="","",IF(ISNUMBER(MATCH(C10,Insumos!$A:$A,0)),"insumo",IF(ISNUMBER(MATCH(C10,Preparos!$A:$A,0)),"preparo","")))</f>
        <v>insumo</v>
      </c>
      <c r="C10" s="3" t="s">
        <v>107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126</v>
      </c>
      <c r="B11" s="4" t="str">
        <f>IF(C11="","",IF(ISNUMBER(MATCH(C11,Insumos!$A:$A,0)),"insumo",IF(ISNUMBER(MATCH(C11,Preparos!$A:$A,0)),"preparo","")))</f>
        <v>preparo</v>
      </c>
      <c r="C11" s="3" t="s">
        <v>122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126</v>
      </c>
      <c r="B12" s="4" t="str">
        <f>IF(C12="","",IF(ISNUMBER(MATCH(C12,Insumos!$A:$A,0)),"insumo",IF(ISNUMBER(MATCH(C12,Preparos!$A:$A,0)),"preparo","")))</f>
        <v>insumo</v>
      </c>
      <c r="C12" s="3" t="s">
        <v>90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126</v>
      </c>
      <c r="B13" s="4" t="str">
        <f>IF(C13="","",IF(ISNUMBER(MATCH(C13,Insumos!$A:$A,0)),"insumo",IF(ISNUMBER(MATCH(C13,Preparos!$A:$A,0)),"preparo","")))</f>
        <v>insumo</v>
      </c>
      <c r="C13" s="3" t="s">
        <v>96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128</v>
      </c>
      <c r="B14" s="4" t="str">
        <f>IF(C14="","",IF(ISNUMBER(MATCH(C14,Insumos!$A:$A,0)),"insumo",IF(ISNUMBER(MATCH(C14,Preparos!$A:$A,0)),"preparo","")))</f>
        <v>preparo</v>
      </c>
      <c r="C14" s="3" t="s">
        <v>126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128</v>
      </c>
      <c r="B15" s="4" t="str">
        <f>IF(C15="","",IF(ISNUMBER(MATCH(C15,Insumos!$A:$A,0)),"insumo",IF(ISNUMBER(MATCH(C15,Preparos!$A:$A,0)),"preparo","")))</f>
        <v>preparo</v>
      </c>
      <c r="C15" s="3" t="s">
        <v>124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132</v>
      </c>
      <c r="B16" s="4" t="str">
        <f>IF(C16="","",IF(ISNUMBER(MATCH(C16,Insumos!$A:$A,0)),"insumo",IF(ISNUMBER(MATCH(C16,Preparos!$A:$A,0)),"preparo","")))</f>
        <v>insumo</v>
      </c>
      <c r="C16" s="3" t="s">
        <v>112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134</v>
      </c>
      <c r="B17" s="4" t="str">
        <f>IF(C17="","",IF(ISNUMBER(MATCH(C17,Insumos!$A:$A,0)),"insumo",IF(ISNUMBER(MATCH(C17,Preparos!$A:$A,0)),"preparo","")))</f>
        <v>insumo</v>
      </c>
      <c r="C17" s="3" t="s">
        <v>90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153</v>
      </c>
      <c r="B1" s="2" t="s">
        <v>149</v>
      </c>
      <c r="C1" s="2" t="s">
        <v>150</v>
      </c>
      <c r="D1" s="2" t="s">
        <v>151</v>
      </c>
      <c r="E1" s="2" t="s">
        <v>152</v>
      </c>
    </row>
    <row r="2" spans="1:5" x14ac:dyDescent="0.25">
      <c r="A2" s="3" t="s">
        <v>138</v>
      </c>
      <c r="B2" s="4" t="str">
        <f>IF(C2="","",IF(ISNUMBER(MATCH(C2,Insumos!$A:$A,0)),"insumo",IF(ISNUMBER(MATCH(C2,Preparos!$A:$A,0)),"preparo","")))</f>
        <v>preparo</v>
      </c>
      <c r="C2" s="3" t="s">
        <v>134</v>
      </c>
      <c r="D2" s="3">
        <v>2</v>
      </c>
      <c r="E2" s="4" t="str">
        <f>IF(C2="","",IFERROR(VLOOKUP(C2,Insumos!$A:$D,4,FALSE),IFERROR(VLOOKUP(C2,Preparos!$A:$D,4,FALSE),"")))</f>
        <v>un</v>
      </c>
    </row>
    <row r="3" spans="1:5" x14ac:dyDescent="0.25">
      <c r="A3" s="3" t="s">
        <v>138</v>
      </c>
      <c r="B3" s="4" t="str">
        <f>IF(C3="","",IF(ISNUMBER(MATCH(C3,Insumos!$A:$A,0)),"insumo",IF(ISNUMBER(MATCH(C3,Preparos!$A:$A,0)),"preparo","")))</f>
        <v>insumo</v>
      </c>
      <c r="C3" s="3" t="s">
        <v>111</v>
      </c>
      <c r="D3" s="3">
        <v>1</v>
      </c>
      <c r="E3" s="4" t="str">
        <f>IF(C3="","",IFERROR(VLOOKUP(C3,Insumos!$A:$D,4,FALSE),IFERROR(VLOOKUP(C3,Preparos!$A:$D,4,FALSE),"")))</f>
        <v>un</v>
      </c>
    </row>
    <row r="4" spans="1:5" x14ac:dyDescent="0.25">
      <c r="A4" s="3" t="s">
        <v>138</v>
      </c>
      <c r="B4" s="4" t="str">
        <f>IF(C4="","",IF(ISNUMBER(MATCH(C4,Insumos!$A:$A,0)),"insumo",IF(ISNUMBER(MATCH(C4,Preparos!$A:$A,0)),"preparo","")))</f>
        <v>insumo</v>
      </c>
      <c r="C4" s="3" t="s">
        <v>101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138</v>
      </c>
      <c r="B5" s="4" t="str">
        <f>IF(C5="","",IF(ISNUMBER(MATCH(C5,Insumos!$A:$A,0)),"insumo",IF(ISNUMBER(MATCH(C5,Preparos!$A:$A,0)),"preparo","")))</f>
        <v>insumo</v>
      </c>
      <c r="C5" s="3" t="s">
        <v>117</v>
      </c>
      <c r="D5" s="3">
        <v>1</v>
      </c>
      <c r="E5" s="4" t="str">
        <f>IF(C5="","",IFERROR(VLOOKUP(C5,Insumos!$A:$D,4,FALSE),IFERROR(VLOOKUP(C5,Preparos!$A:$D,4,FALSE),"")))</f>
        <v>un</v>
      </c>
    </row>
    <row r="6" spans="1:5" x14ac:dyDescent="0.25">
      <c r="A6" s="3" t="s">
        <v>139</v>
      </c>
      <c r="B6" s="4" t="str">
        <f>IF(C6="","",IF(ISNUMBER(MATCH(C6,Insumos!$A:$A,0)),"insumo",IF(ISNUMBER(MATCH(C6,Preparos!$A:$A,0)),"preparo","")))</f>
        <v>preparo</v>
      </c>
      <c r="C6" s="3" t="s">
        <v>126</v>
      </c>
      <c r="D6" s="3">
        <v>0.4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139</v>
      </c>
      <c r="B7" s="4" t="str">
        <f>IF(C7="","",IF(ISNUMBER(MATCH(C7,Insumos!$A:$A,0)),"insumo",IF(ISNUMBER(MATCH(C7,Preparos!$A:$A,0)),"preparo","")))</f>
        <v>preparo</v>
      </c>
      <c r="C7" s="3" t="s">
        <v>130</v>
      </c>
      <c r="D7" s="3">
        <v>0.2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139</v>
      </c>
      <c r="B8" s="4" t="str">
        <f>IF(C8="","",IF(ISNUMBER(MATCH(C8,Insumos!$A:$A,0)),"insumo",IF(ISNUMBER(MATCH(C8,Preparos!$A:$A,0)),"preparo","")))</f>
        <v>insumo</v>
      </c>
      <c r="C8" s="3" t="s">
        <v>101</v>
      </c>
      <c r="D8" s="3">
        <v>0.15</v>
      </c>
      <c r="E8" s="4" t="str">
        <f>IF(C8="","",IFERROR(VLOOKUP(C8,Insumos!$A:$D,4,FALSE),IFERROR(VLOOKUP(C8,Preparos!$A:$D,4,FALSE),"")))</f>
        <v>kg</v>
      </c>
    </row>
    <row r="9" spans="1:5" x14ac:dyDescent="0.25">
      <c r="A9" s="3" t="s">
        <v>139</v>
      </c>
      <c r="B9" s="4" t="str">
        <f>IF(C9="","",IF(ISNUMBER(MATCH(C9,Insumos!$A:$A,0)),"insumo",IF(ISNUMBER(MATCH(C9,Preparos!$A:$A,0)),"preparo","")))</f>
        <v>insumo</v>
      </c>
      <c r="C9" s="3" t="s">
        <v>102</v>
      </c>
      <c r="D9" s="3">
        <v>0.03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143</v>
      </c>
      <c r="B10" s="4" t="str">
        <f>IF(C10="","",IF(ISNUMBER(MATCH(C10,Insumos!$A:$A,0)),"insumo",IF(ISNUMBER(MATCH(C10,Preparos!$A:$A,0)),"preparo","")))</f>
        <v>preparo</v>
      </c>
      <c r="C10" s="3" t="s">
        <v>128</v>
      </c>
      <c r="D10" s="3">
        <v>0.15</v>
      </c>
      <c r="E10" s="4" t="str">
        <f>IF(C10="","",IFERROR(VLOOKUP(C10,Insumos!$A:$D,4,FALSE),IFERROR(VLOOKUP(C10,Preparos!$A:$D,4,FALSE),"")))</f>
        <v>kg</v>
      </c>
    </row>
    <row r="11" spans="1:5" x14ac:dyDescent="0.25">
      <c r="A11" s="3" t="s">
        <v>144</v>
      </c>
      <c r="B11" s="4" t="str">
        <f>IF(C11="","",IF(ISNUMBER(MATCH(C11,Insumos!$A:$A,0)),"insumo",IF(ISNUMBER(MATCH(C11,Preparos!$A:$A,0)),"preparo","")))</f>
        <v>preparo</v>
      </c>
      <c r="C11" s="3" t="s">
        <v>132</v>
      </c>
      <c r="D11" s="3">
        <v>0.18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144</v>
      </c>
      <c r="B12" s="4" t="str">
        <f>IF(C12="","",IF(ISNUMBER(MATCH(C12,Insumos!$A:$A,0)),"insumo",IF(ISNUMBER(MATCH(C12,Preparos!$A:$A,0)),"preparo","")))</f>
        <v>insumo</v>
      </c>
      <c r="C12" s="3" t="s">
        <v>113</v>
      </c>
      <c r="D12" s="3">
        <v>0.08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144</v>
      </c>
      <c r="B13" s="4" t="str">
        <f>IF(C13="","",IF(ISNUMBER(MATCH(C13,Insumos!$A:$A,0)),"insumo",IF(ISNUMBER(MATCH(C13,Preparos!$A:$A,0)),"preparo","")))</f>
        <v>insumo</v>
      </c>
      <c r="C13" s="3" t="s">
        <v>115</v>
      </c>
      <c r="D13" s="3">
        <v>1</v>
      </c>
      <c r="E13" s="4" t="str">
        <f>IF(C13="","",IFERROR(VLOOKUP(C13,Insumos!$A:$D,4,FALSE),IFERROR(VLOOKUP(C13,Preparos!$A:$D,4,FALSE),"")))</f>
        <v>un</v>
      </c>
    </row>
    <row r="14" spans="1:5" x14ac:dyDescent="0.25">
      <c r="A14" s="3" t="s">
        <v>146</v>
      </c>
      <c r="B14" s="4" t="str">
        <f>IF(C14="","",IF(ISNUMBER(MATCH(C14,Insumos!$A:$A,0)),"insumo",IF(ISNUMBER(MATCH(C14,Preparos!$A:$A,0)),"preparo","")))</f>
        <v>insumo</v>
      </c>
      <c r="C14" s="3" t="s">
        <v>116</v>
      </c>
      <c r="D14" s="3">
        <v>0.04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/>
      <c r="B15" s="4" t="str">
        <f>IF(C15="","",IF(ISNUMBER(MATCH(C15,Insumos!$A:$A,0)),"insumo",IF(ISNUMBER(MATCH(C15,Preparos!$A:$A,0)),"preparo","")))</f>
        <v/>
      </c>
      <c r="C15" s="3"/>
      <c r="D15" s="3"/>
      <c r="E15" s="4" t="str">
        <f>IF(C15="","",IFERROR(VLOOKUP(C15,Insumos!$A:$D,4,FALSE),IFERROR(VLOOKUP(C15,Preparos!$A:$D,4,FALSE),"")))</f>
        <v/>
      </c>
    </row>
    <row r="16" spans="1:5" x14ac:dyDescent="0.25">
      <c r="A16" s="3"/>
      <c r="B16" s="4" t="str">
        <f>IF(C16="","",IF(ISNUMBER(MATCH(C16,Insumos!$A:$A,0)),"insumo",IF(ISNUMBER(MATCH(C16,Preparos!$A:$A,0)),"preparo","")))</f>
        <v/>
      </c>
      <c r="C16" s="3"/>
      <c r="D16" s="3"/>
      <c r="E16" s="4" t="str">
        <f>IF(C16="","",IFERROR(VLOOKUP(C16,Insumos!$A:$D,4,FALSE),IFERROR(VLOOKUP(C16,Preparos!$A:$D,4,FALSE),"")))</f>
        <v/>
      </c>
    </row>
    <row r="17" spans="1:5" x14ac:dyDescent="0.25">
      <c r="A17" s="3"/>
      <c r="B17" s="4" t="str">
        <f>IF(C17="","",IF(ISNUMBER(MATCH(C17,Insumos!$A:$A,0)),"insumo",IF(ISNUMBER(MATCH(C17,Preparos!$A:$A,0)),"preparo","")))</f>
        <v/>
      </c>
      <c r="C17" s="3"/>
      <c r="D17" s="3"/>
      <c r="E17" s="4" t="str">
        <f>IF(C17="","",IFERROR(VLOOKUP(C17,Insumos!$A:$D,4,FALSE),IFERROR(VLOOKUP(C17,Preparos!$A:$D,4,FALSE),"")))</f>
        <v/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2026-04-23T15:38:34Z</dcterms:created>
  <dcterms:modified xsi:type="dcterms:W3CDTF">2026-04-23T15:38:34Z</dcterms:modified>
</cp:coreProperties>
</file>