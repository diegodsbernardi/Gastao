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Leia-me" state="visible" r:id="rId4"/>
    <sheet sheetId="2" name="_Categorias" state="visible" r:id="rId5"/>
    <sheet sheetId="3" name="Insumos" state="visible" r:id="rId6"/>
    <sheet sheetId="4" name="Preparos" state="visible" r:id="rId7"/>
    <sheet sheetId="5" name="Fichas" state="visible" r:id="rId8"/>
    <sheet sheetId="6" name="_ref_itens" state="hidden" r:id="rId9"/>
    <sheet sheetId="7" name="Composicao_Preparos" state="visible" r:id="rId10"/>
    <sheet sheetId="8" name="Composicao_Fichas" state="visible" r:id="rId11"/>
    <sheet sheetId="9" name="Ver_Ficha" state="visible" r:id="rId12"/>
    <sheet sheetId="10" name="_Validação" state="visible" r:id="rId13"/>
  </sheets>
  <definedNames>
    <definedName name="itens_todos">'_ref_itens'!$A$2:$A$999</definedName>
    <definedName name="itens_combo">'_ref_itens'!$A$2:$A$1498</definedName>
  </definedNames>
  <calcPr calcId="171027" fullCalcOnLoad="1"/>
</workbook>
</file>

<file path=xl/sharedStrings.xml><?xml version="1.0" encoding="utf-8"?>
<sst xmlns="http://schemas.openxmlformats.org/spreadsheetml/2006/main" count="345" uniqueCount="199">
  <si>
    <t>GASTÃO — PLANILHA-MÃE v3 — Ficha Técnica Padronizada</t>
  </si>
  <si>
    <t>Esta planilha foi feita pra você cadastrar seus insumos, preparos e fichas técnicas de um jeito padronizado, sem chance de dar errado no sistema.</t>
  </si>
  <si>
    <t>Funciona pra qualquer restaurante: hamburgueria, italiano, sushi, fine dining, eventos.</t>
  </si>
  <si>
    <t>🎨 CORES — O QUE CADA UMA SIGNIFICA</t>
  </si>
  <si>
    <t>🟡 AMARELO — você preenche aqui.</t>
  </si>
  <si>
    <t>🟢 VERDE — o sistema calcula. Não mexa.</t>
  </si>
  <si>
    <t>⚪ CINZA — opcional. Preenche se quiser.</t>
  </si>
  <si>
    <t>🔴 VERMELHO — tem erro. Confira a aba _Validação.</t>
  </si>
  <si>
    <t>📋 ORDEM DE PREENCHIMENTO</t>
  </si>
  <si>
    <t>1️⃣  _Categorias — quais categorias você usa (Hortifruti, Carnes, Bebidas...)</t>
  </si>
  <si>
    <t>2️⃣  Insumos — tudo que você compra (matéria-prima, item pronto, embalagem)</t>
  </si>
  <si>
    <t>3️⃣  Preparos — mini-receitas que você faz na cozinha (molhos, bases, etc)</t>
  </si>
  <si>
    <t>4️⃣  Fichas — pratos vendidos no cardápio</t>
  </si>
  <si>
    <t>5️⃣  Composição_Preparos — o que vai dentro de cada preparo</t>
  </si>
  <si>
    <t>6️⃣  Composição_Fichas — o que vai dentro de cada ficha</t>
  </si>
  <si>
    <t>7️⃣  Ver_Ficha — escolha uma ficha pra ver tudo bonitinho</t>
  </si>
  <si>
    <t>8️⃣  _Validação — confira se tem erros antes de enviar</t>
  </si>
  <si>
    <t>⚖️  UNIDADES — REGRA DE OURO</t>
  </si>
  <si>
    <t>Peso/massa: sempre em GRAMAS (g)</t>
  </si>
  <si>
    <t>Volume: sempre em MILILITROS (ml)</t>
  </si>
  <si>
    <t>Contagem (unidades de produto): UN</t>
  </si>
  <si>
    <t>COMO PENSAR NO PREÇO:</t>
  </si>
  <si>
    <t>Você não precisa calcular preço/grama na mão. Cadastre como você COMPRA:</t>
  </si>
  <si>
    <t xml:space="preserve">  • Bacon — embalagem 1 kg por R$ 43 → "Embalagem qtd: 1000, unidade: g, Preço: 43"</t>
  </si>
  <si>
    <t xml:space="preserve">  • Azeite — garrafa 750 ml por R$ 30 → "Embalagem qtd: 750, unidade: ml, Preço: 30"</t>
  </si>
  <si>
    <t xml:space="preserve">  • Pão — comprado por unidade R$ 1,80 → "Embalagem qtd: 1, unidade: un, Preço: 1,80"</t>
  </si>
  <si>
    <t>O sistema calcula o preço por grama / ml / unidade automaticamente.</t>
  </si>
  <si>
    <t>📊 APROVEITAMENTO — TABELA DE REFERÊNCIA</t>
  </si>
  <si>
    <t>Aproveitamento = quanto sobra do peso/volume original depois de limpar, drenar e cozinhar.</t>
  </si>
  <si>
    <t>Se você compra 1 kg de bacon cru e depois de frito sobra 300 g, o aproveitamento é 30%.</t>
  </si>
  <si>
    <t>Se você compra lata de tomate 800 g e drenado sobra 480 g, o aproveitamento é 60%.</t>
  </si>
  <si>
    <t>Use a tabela abaixo como referência. Se não sabe, deixa 100%.</t>
  </si>
  <si>
    <t>INGREDIENTE</t>
  </si>
  <si>
    <t>APROVEITAMENTO TÍPICO</t>
  </si>
  <si>
    <t>Bacon cru → frito</t>
  </si>
  <si>
    <t>30%</t>
  </si>
  <si>
    <t>Camarão com casca → limpo</t>
  </si>
  <si>
    <t>60%</t>
  </si>
  <si>
    <t>Carne crua → assada/grelhada</t>
  </si>
  <si>
    <t>65-75%</t>
  </si>
  <si>
    <t>Cebola → descascada</t>
  </si>
  <si>
    <t>90%</t>
  </si>
  <si>
    <t>Tomate fresco → sem casca/semente</t>
  </si>
  <si>
    <t>80%</t>
  </si>
  <si>
    <t>Tomate pelado em lata (peso drenado)</t>
  </si>
  <si>
    <t>Filé peixe inteiro → limpo sem espinha</t>
  </si>
  <si>
    <t>50-60%</t>
  </si>
  <si>
    <t>Salmão fresco → limpo</t>
  </si>
  <si>
    <t>Abacaxi → descascado</t>
  </si>
  <si>
    <t>53%</t>
  </si>
  <si>
    <t>Manga → descascada/sem caroço</t>
  </si>
  <si>
    <t>65%</t>
  </si>
  <si>
    <t>Item pronto sem perda (ovo, refri, lata)</t>
  </si>
  <si>
    <t>100%</t>
  </si>
  <si>
    <t>Embalagem (caixa, sacola)</t>
  </si>
  <si>
    <t>🍳 INSUMO vs PREPARO vs FICHA</t>
  </si>
  <si>
    <t>INSUMO — algo que você COMPRA (matéria-prima ou produto pronto)</t>
  </si>
  <si>
    <t xml:space="preserve">  Ex: tomate pelado em lata, queijo muçarela, pão de hambúrguer, refrigerante</t>
  </si>
  <si>
    <t>PREPARO — algo que você FAZ na cozinha, usando insumos (e/ou outros preparos)</t>
  </si>
  <si>
    <t xml:space="preserve">  Ex: molho de tomate base, ragu, massa de lasanha, mix de queijos, hambúrguer moldado</t>
  </si>
  <si>
    <t xml:space="preserve">  Preparos podem usar OUTROS preparos sem limite. Ex: Molho Rosé usa Ragu (que usa Molho Base).</t>
  </si>
  <si>
    <t>FICHA — um PRATO do cardápio que o cliente compra</t>
  </si>
  <si>
    <t xml:space="preserve">  Ex: Lasanha à Bolonhesa, X-Burger, Hot Roll Salmão, Combo Família</t>
  </si>
  <si>
    <t>🔁 PREPAROS DENTRO DE PREPAROS</t>
  </si>
  <si>
    <t>Exemplo: o Aligot (preparo) usa Mix de queijos (outro preparo).</t>
  </si>
  <si>
    <t>O Mix de queijos vai na aba Preparos normalmente. Na composição do Aligot, escolha Mix de queijos como item.</t>
  </si>
  <si>
    <t>O sistema calcula o custo em cascata automaticamente.</t>
  </si>
  <si>
    <t>NÃO CRIE CICLO: se o Aligot usa Mix de queijos, o Mix de queijos NÃO pode usar Aligot.</t>
  </si>
  <si>
    <t>⚠️  ANTES DE ENVIAR</t>
  </si>
  <si>
    <t>Vá na aba _Validação. Se aparecer 🔴 (linha vermelha), corrija ANTES de mandar.</t>
  </si>
  <si>
    <t>🟡 Avisos podem ser ignorados, mas é bom revisar.</t>
  </si>
  <si>
    <t>Vá na aba Ver_Ficha pra conferir cada prato bonito e visualmente.</t>
  </si>
  <si>
    <t>Dúvidas? Fale com seu contato Gastão / BPO.</t>
  </si>
  <si>
    <t>Tipo de Item</t>
  </si>
  <si>
    <t>Categoria</t>
  </si>
  <si>
    <t>Descrição</t>
  </si>
  <si>
    <t>insumo</t>
  </si>
  <si>
    <t>Hortifruti</t>
  </si>
  <si>
    <t>Frutas, legumes e verduras</t>
  </si>
  <si>
    <t>Carnes</t>
  </si>
  <si>
    <t>Bovinos, suínos, aves, peixes</t>
  </si>
  <si>
    <t>Laticínios</t>
  </si>
  <si>
    <t>Queijos, leite, manteiga, creme</t>
  </si>
  <si>
    <t>Mercearia</t>
  </si>
  <si>
    <t>Secos em geral, farinhas, açúcar</t>
  </si>
  <si>
    <t>Enlatados</t>
  </si>
  <si>
    <t>Tomate pelado, atum, milho, etc</t>
  </si>
  <si>
    <t>Panificação</t>
  </si>
  <si>
    <t>Pães, massas prontas</t>
  </si>
  <si>
    <t>Bebidas</t>
  </si>
  <si>
    <t>Refrigerantes, sucos, cervejas, vinhos</t>
  </si>
  <si>
    <t>Descartáveis</t>
  </si>
  <si>
    <t>Embalagens, guardanapos, talheres</t>
  </si>
  <si>
    <t>preparo</t>
  </si>
  <si>
    <t>Molhos &amp; Caldos</t>
  </si>
  <si>
    <t>Bases reutilizáveis</t>
  </si>
  <si>
    <t>Bases</t>
  </si>
  <si>
    <t>Massas, arroz, base de pratos</t>
  </si>
  <si>
    <t>Carnes Pré</t>
  </si>
  <si>
    <t>Carnes pré-preparadas (hambúrguer moldado, etc)</t>
  </si>
  <si>
    <t>Sobremesas</t>
  </si>
  <si>
    <t>Bases doces</t>
  </si>
  <si>
    <t>ficha</t>
  </si>
  <si>
    <t>Entradas</t>
  </si>
  <si>
    <t>Aperitivos / petiscos</t>
  </si>
  <si>
    <t>Pratos Principais</t>
  </si>
  <si>
    <t>Pratos quentes</t>
  </si>
  <si>
    <t>Doces e sobremesas</t>
  </si>
  <si>
    <t>Drinks, sucos, refrigerantes</t>
  </si>
  <si>
    <t>Combos</t>
  </si>
  <si>
    <t>Combos / promoções</t>
  </si>
  <si>
    <t>Nome</t>
  </si>
  <si>
    <t>Tipo</t>
  </si>
  <si>
    <t>Embalagem (qtd)</t>
  </si>
  <si>
    <t>Embalagem (unidade)</t>
  </si>
  <si>
    <t>Preço Embalagem (R$)</t>
  </si>
  <si>
    <t>Aproveitamento (%)</t>
  </si>
  <si>
    <t>Densidade (g/ml)</t>
  </si>
  <si>
    <t>Unidade Canônica (auto)</t>
  </si>
  <si>
    <t>Custo / un (auto)</t>
  </si>
  <si>
    <t>Observações</t>
  </si>
  <si>
    <t>Carne Moída 80/20</t>
  </si>
  <si>
    <t>insumo_base</t>
  </si>
  <si>
    <t>g</t>
  </si>
  <si>
    <t>Perda mínima de gordura</t>
  </si>
  <si>
    <t>Tomate Pelado em Lata</t>
  </si>
  <si>
    <t>Lata 800g, peso drenado 60%</t>
  </si>
  <si>
    <t>Cebola</t>
  </si>
  <si>
    <t>Perde 10% ao descascar</t>
  </si>
  <si>
    <t>Alho</t>
  </si>
  <si>
    <t/>
  </si>
  <si>
    <t>Azeite Extra Virgem</t>
  </si>
  <si>
    <t>ml</t>
  </si>
  <si>
    <t>Garrafa 750ml</t>
  </si>
  <si>
    <t>Queijo Muçarela</t>
  </si>
  <si>
    <t>Queijo Parmesão</t>
  </si>
  <si>
    <t>insumo_direto</t>
  </si>
  <si>
    <t>Ralado na hora direto na ficha</t>
  </si>
  <si>
    <t>Farinha Tipo 00</t>
  </si>
  <si>
    <t>Massas italianas</t>
  </si>
  <si>
    <t>Ovo</t>
  </si>
  <si>
    <t>un</t>
  </si>
  <si>
    <t>~50g por unidade</t>
  </si>
  <si>
    <t>Manteiga sem sal</t>
  </si>
  <si>
    <t>Tablete 200g</t>
  </si>
  <si>
    <t>Leite Integral</t>
  </si>
  <si>
    <t>Caixa 1L</t>
  </si>
  <si>
    <t>Pão de Hambúrguer</t>
  </si>
  <si>
    <t>Bacon Cru</t>
  </si>
  <si>
    <t>Frito rende 30%</t>
  </si>
  <si>
    <t>Salmão Fresco</t>
  </si>
  <si>
    <t>Limpo rende 60%</t>
  </si>
  <si>
    <t>Camarão Cru c/ casca</t>
  </si>
  <si>
    <t>Coca-Cola Lata 350ml</t>
  </si>
  <si>
    <t>Caixa Delivery</t>
  </si>
  <si>
    <t>embalagem</t>
  </si>
  <si>
    <t>Rendimento (qtd)</t>
  </si>
  <si>
    <t>Rendimento (unidade)</t>
  </si>
  <si>
    <t>Custo Total (auto)</t>
  </si>
  <si>
    <t>Procedimento</t>
  </si>
  <si>
    <t>Molho de Tomate Base</t>
  </si>
  <si>
    <t>Refogar tomate com cebola e alho, cozinhar 40min</t>
  </si>
  <si>
    <t>Ragu</t>
  </si>
  <si>
    <t>Carne moída + Molho de Tomate Base</t>
  </si>
  <si>
    <t>Hambúrguer Moldado 80g</t>
  </si>
  <si>
    <t>Bolinho 80g prensado, 1 unidade</t>
  </si>
  <si>
    <t>Massa de Lasanha</t>
  </si>
  <si>
    <t>Massa fresca ao ovo</t>
  </si>
  <si>
    <t>Preço de Venda (R$)</t>
  </si>
  <si>
    <t>CMV % (auto)</t>
  </si>
  <si>
    <t>X-Burger Duplo</t>
  </si>
  <si>
    <t>Lasanha à Bolonhesa</t>
  </si>
  <si>
    <t>Porção 350g</t>
  </si>
  <si>
    <t>Salmão Grelhado</t>
  </si>
  <si>
    <t>item</t>
  </si>
  <si>
    <t>Preparo</t>
  </si>
  <si>
    <t>Componente (auto)</t>
  </si>
  <si>
    <t>Item</t>
  </si>
  <si>
    <t>Quantidade</t>
  </si>
  <si>
    <t>Unidade (auto)</t>
  </si>
  <si>
    <t>Aprov% (auto)</t>
  </si>
  <si>
    <t>Custo/un (auto)</t>
  </si>
  <si>
    <t>Custo Linha (auto)</t>
  </si>
  <si>
    <t>Notas</t>
  </si>
  <si>
    <t>Ficha</t>
  </si>
  <si>
    <t>👁  FICHA TÉCNICA</t>
  </si>
  <si>
    <t>Escolha:</t>
  </si>
  <si>
    <t>Categoria:</t>
  </si>
  <si>
    <t>Preço de Venda:</t>
  </si>
  <si>
    <t>Custo Total:</t>
  </si>
  <si>
    <t>CMV:</t>
  </si>
  <si>
    <t>INGREDIENTES</t>
  </si>
  <si>
    <t>QTD</t>
  </si>
  <si>
    <t>R$</t>
  </si>
  <si>
    <t>⚠️  VALIDAÇÃO — verifique antes de enviar</t>
  </si>
  <si>
    <t>Status</t>
  </si>
  <si>
    <t>Mensagem</t>
  </si>
  <si>
    <t>Erro</t>
  </si>
  <si>
    <t>Aviso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</si>
</sst>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R$ #,##0.0000"/>
    <numFmt numFmtId="165" formatCode="R$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1F2937"/>
      <sz val="18"/>
    </font>
    <font>
      <sz val="11"/>
    </font>
    <font>
      <b/>
      <color rgb="FF1F2937"/>
      <sz val="12"/>
    </font>
    <font>
      <b/>
    </font>
    <font>
      <b/>
      <color rgb="FFFFFFFF"/>
    </font>
    <font>
      <b/>
      <color rgb="FF1F2937"/>
      <sz val="16"/>
    </font>
    <font>
      <b/>
      <sz val="12"/>
    </font>
    <font>
      <b/>
      <color rgb="FFDC2626"/>
    </font>
    <font>
      <b/>
      <sz val="14"/>
    </font>
    <font>
      <i/>
      <color rgb="FF6B7280"/>
    </font>
  </fonts>
  <fills count="7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4" fillId="2" borderId="1" xfId="0" applyFont="1" applyFill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166" fontId="0" fillId="6" borderId="1" xfId="0" applyNumberFormat="1" applyFill="1" applyBorder="1"/>
    <xf numFmtId="0" fontId="6" fillId="2" borderId="0" xfId="0" applyFont="1" applyFill="1" applyAlignment="1">
      <alignment horizontal="center" vertical="center"/>
    </xf>
    <xf numFmtId="0" fontId="4" fillId="0" borderId="0" xfId="0" applyFont="1"/>
    <xf numFmtId="0" fontId="7" fillId="5" borderId="1" xfId="0" applyFont="1" applyFill="1" applyBorder="1"/>
    <xf numFmtId="0" fontId="0" fillId="6" borderId="0" xfId="0" applyFill="1"/>
    <xf numFmtId="165" fontId="0" fillId="6" borderId="0" xfId="0" applyNumberFormat="1" applyFill="1"/>
    <xf numFmtId="165" fontId="8" fillId="6" borderId="0" xfId="0" applyNumberFormat="1" applyFont="1" applyFill="1"/>
    <xf numFmtId="166" fontId="9" fillId="6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0" fillId="6" borderId="1" xfId="0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FEE2E2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4"/>
  <sheetFormatPr defaultRowHeight="15" outlineLevelRow="0" outlineLevelCol="0" x14ac:dyDescent="55"/>
  <cols>
    <col min="1" max="1" width="8" customWidth="1"/>
    <col min="2" max="2" width="64" customWidth="1"/>
    <col min="3" max="3" width="24" customWidth="1"/>
  </cols>
  <sheetData>
    <row r="1" ht="30" customHeight="1" spans="2:3" x14ac:dyDescent="0.25">
      <c r="B1" s="1" t="s">
        <v>0</v>
      </c>
      <c r="C1" s="1"/>
    </row>
    <row r="3" spans="2:3" x14ac:dyDescent="0.25">
      <c r="B3" s="2" t="s">
        <v>1</v>
      </c>
      <c r="C3" s="2"/>
    </row>
    <row r="4" spans="2:3" x14ac:dyDescent="0.25">
      <c r="B4" s="2" t="s">
        <v>2</v>
      </c>
      <c r="C4" s="2"/>
    </row>
    <row r="6" ht="22" customHeight="1" spans="2:3" x14ac:dyDescent="0.25">
      <c r="B6" s="3" t="s">
        <v>3</v>
      </c>
      <c r="C6" s="3"/>
    </row>
    <row r="7" spans="2:3" x14ac:dyDescent="0.25">
      <c r="B7" s="2" t="s">
        <v>4</v>
      </c>
      <c r="C7" s="2"/>
    </row>
    <row r="8" spans="2:3" x14ac:dyDescent="0.25">
      <c r="B8" s="2" t="s">
        <v>5</v>
      </c>
      <c r="C8" s="2"/>
    </row>
    <row r="9" spans="2:3" x14ac:dyDescent="0.25">
      <c r="B9" s="2" t="s">
        <v>6</v>
      </c>
      <c r="C9" s="2"/>
    </row>
    <row r="10" spans="2:3" x14ac:dyDescent="0.25">
      <c r="B10" s="2" t="s">
        <v>7</v>
      </c>
      <c r="C10" s="2"/>
    </row>
    <row r="12" ht="22" customHeight="1" spans="2:3" x14ac:dyDescent="0.25">
      <c r="B12" s="3" t="s">
        <v>8</v>
      </c>
      <c r="C12" s="3"/>
    </row>
    <row r="13" spans="2:3" x14ac:dyDescent="0.25">
      <c r="B13" s="2" t="s">
        <v>9</v>
      </c>
      <c r="C13" s="2"/>
    </row>
    <row r="14" spans="2:3" x14ac:dyDescent="0.25">
      <c r="B14" s="2" t="s">
        <v>10</v>
      </c>
      <c r="C14" s="2"/>
    </row>
    <row r="15" spans="2:3" x14ac:dyDescent="0.25">
      <c r="B15" s="2" t="s">
        <v>11</v>
      </c>
      <c r="C15" s="2"/>
    </row>
    <row r="16" spans="2:3" x14ac:dyDescent="0.25">
      <c r="B16" s="2" t="s">
        <v>12</v>
      </c>
      <c r="C16" s="2"/>
    </row>
    <row r="17" spans="2:3" x14ac:dyDescent="0.25">
      <c r="B17" s="2" t="s">
        <v>13</v>
      </c>
      <c r="C17" s="2"/>
    </row>
    <row r="18" spans="2:3" x14ac:dyDescent="0.25">
      <c r="B18" s="2" t="s">
        <v>14</v>
      </c>
      <c r="C18" s="2"/>
    </row>
    <row r="19" spans="2:3" x14ac:dyDescent="0.25">
      <c r="B19" s="2" t="s">
        <v>15</v>
      </c>
      <c r="C19" s="2"/>
    </row>
    <row r="20" spans="2:3" x14ac:dyDescent="0.25">
      <c r="B20" s="2" t="s">
        <v>16</v>
      </c>
      <c r="C20" s="2"/>
    </row>
    <row r="22" ht="22" customHeight="1" spans="2:3" x14ac:dyDescent="0.25">
      <c r="B22" s="3" t="s">
        <v>17</v>
      </c>
      <c r="C22" s="3"/>
    </row>
    <row r="23" spans="2:3" x14ac:dyDescent="0.25">
      <c r="B23" s="2" t="s">
        <v>18</v>
      </c>
      <c r="C23" s="2"/>
    </row>
    <row r="24" spans="2:3" x14ac:dyDescent="0.25">
      <c r="B24" s="2" t="s">
        <v>19</v>
      </c>
      <c r="C24" s="2"/>
    </row>
    <row r="25" spans="2:3" x14ac:dyDescent="0.25">
      <c r="B25" s="2" t="s">
        <v>20</v>
      </c>
      <c r="C25" s="2"/>
    </row>
    <row r="27" spans="2:3" x14ac:dyDescent="0.25">
      <c r="B27" s="2" t="s">
        <v>21</v>
      </c>
      <c r="C27" s="2"/>
    </row>
    <row r="28" spans="2:3" x14ac:dyDescent="0.25">
      <c r="B28" s="2" t="s">
        <v>22</v>
      </c>
      <c r="C28" s="2"/>
    </row>
    <row r="29" spans="2:3" x14ac:dyDescent="0.25">
      <c r="B29" s="2" t="s">
        <v>23</v>
      </c>
      <c r="C29" s="2"/>
    </row>
    <row r="30" spans="2:3" x14ac:dyDescent="0.25">
      <c r="B30" s="2" t="s">
        <v>24</v>
      </c>
      <c r="C30" s="2"/>
    </row>
    <row r="31" spans="2:3" x14ac:dyDescent="0.25">
      <c r="B31" s="2" t="s">
        <v>25</v>
      </c>
      <c r="C31" s="2"/>
    </row>
    <row r="32" spans="2:3" x14ac:dyDescent="0.25">
      <c r="B32" s="2" t="s">
        <v>26</v>
      </c>
      <c r="C32" s="2"/>
    </row>
    <row r="34" ht="22" customHeight="1" spans="2:3" x14ac:dyDescent="0.25">
      <c r="B34" s="3" t="s">
        <v>27</v>
      </c>
      <c r="C34" s="3"/>
    </row>
    <row r="35" spans="2:3" x14ac:dyDescent="0.25">
      <c r="B35" s="2" t="s">
        <v>28</v>
      </c>
      <c r="C35" s="2"/>
    </row>
    <row r="36" spans="2:3" x14ac:dyDescent="0.25">
      <c r="B36" s="2" t="s">
        <v>29</v>
      </c>
      <c r="C36" s="2"/>
    </row>
    <row r="37" spans="2:3" x14ac:dyDescent="0.25">
      <c r="B37" s="2" t="s">
        <v>30</v>
      </c>
      <c r="C37" s="2"/>
    </row>
    <row r="38" spans="2:3" x14ac:dyDescent="0.25">
      <c r="B38" s="2" t="s">
        <v>31</v>
      </c>
      <c r="C38" s="2"/>
    </row>
    <row r="40" spans="2:3" x14ac:dyDescent="0.25">
      <c r="B40" s="4" t="s">
        <v>32</v>
      </c>
      <c r="C40" s="4" t="s">
        <v>33</v>
      </c>
    </row>
    <row r="41" spans="2:3" x14ac:dyDescent="0.25">
      <c r="B41" s="5" t="s">
        <v>34</v>
      </c>
      <c r="C41" s="5" t="s">
        <v>35</v>
      </c>
    </row>
    <row r="42" spans="2:3" x14ac:dyDescent="0.25">
      <c r="B42" s="5" t="s">
        <v>36</v>
      </c>
      <c r="C42" s="5" t="s">
        <v>37</v>
      </c>
    </row>
    <row r="43" spans="2:3" x14ac:dyDescent="0.25">
      <c r="B43" s="5" t="s">
        <v>38</v>
      </c>
      <c r="C43" s="5" t="s">
        <v>39</v>
      </c>
    </row>
    <row r="44" spans="2:3" x14ac:dyDescent="0.25">
      <c r="B44" s="5" t="s">
        <v>40</v>
      </c>
      <c r="C44" s="5" t="s">
        <v>41</v>
      </c>
    </row>
    <row r="45" spans="2:3" x14ac:dyDescent="0.25">
      <c r="B45" s="5" t="s">
        <v>42</v>
      </c>
      <c r="C45" s="5" t="s">
        <v>43</v>
      </c>
    </row>
    <row r="46" spans="2:3" x14ac:dyDescent="0.25">
      <c r="B46" s="5" t="s">
        <v>44</v>
      </c>
      <c r="C46" s="5" t="s">
        <v>37</v>
      </c>
    </row>
    <row r="47" spans="2:3" x14ac:dyDescent="0.25">
      <c r="B47" s="5" t="s">
        <v>45</v>
      </c>
      <c r="C47" s="5" t="s">
        <v>46</v>
      </c>
    </row>
    <row r="48" spans="2:3" x14ac:dyDescent="0.25">
      <c r="B48" s="5" t="s">
        <v>47</v>
      </c>
      <c r="C48" s="5" t="s">
        <v>37</v>
      </c>
    </row>
    <row r="49" spans="2:3" x14ac:dyDescent="0.25">
      <c r="B49" s="5" t="s">
        <v>48</v>
      </c>
      <c r="C49" s="5" t="s">
        <v>49</v>
      </c>
    </row>
    <row r="50" spans="2:3" x14ac:dyDescent="0.25">
      <c r="B50" s="5" t="s">
        <v>50</v>
      </c>
      <c r="C50" s="5" t="s">
        <v>51</v>
      </c>
    </row>
    <row r="51" spans="2:3" x14ac:dyDescent="0.25">
      <c r="B51" s="5" t="s">
        <v>52</v>
      </c>
      <c r="C51" s="5" t="s">
        <v>53</v>
      </c>
    </row>
    <row r="52" spans="2:3" x14ac:dyDescent="0.25">
      <c r="B52" s="5" t="s">
        <v>54</v>
      </c>
      <c r="C52" s="5" t="s">
        <v>53</v>
      </c>
    </row>
    <row r="54" ht="22" customHeight="1" spans="2:3" x14ac:dyDescent="0.25">
      <c r="B54" s="3" t="s">
        <v>55</v>
      </c>
      <c r="C54" s="3"/>
    </row>
    <row r="55" spans="2:3" x14ac:dyDescent="0.25">
      <c r="B55" s="2" t="s">
        <v>56</v>
      </c>
      <c r="C55" s="2"/>
    </row>
    <row r="56" spans="2:3" x14ac:dyDescent="0.25">
      <c r="B56" s="2" t="s">
        <v>57</v>
      </c>
      <c r="C56" s="2"/>
    </row>
    <row r="57" spans="2:3" x14ac:dyDescent="0.25">
      <c r="B57" s="2" t="s">
        <v>58</v>
      </c>
      <c r="C57" s="2"/>
    </row>
    <row r="58" spans="2:3" x14ac:dyDescent="0.25">
      <c r="B58" s="2" t="s">
        <v>59</v>
      </c>
      <c r="C58" s="2"/>
    </row>
    <row r="59" spans="2:3" x14ac:dyDescent="0.25">
      <c r="B59" s="2" t="s">
        <v>60</v>
      </c>
      <c r="C59" s="2"/>
    </row>
    <row r="60" spans="2:3" x14ac:dyDescent="0.25">
      <c r="B60" s="2" t="s">
        <v>61</v>
      </c>
      <c r="C60" s="2"/>
    </row>
    <row r="61" spans="2:3" x14ac:dyDescent="0.25">
      <c r="B61" s="2" t="s">
        <v>62</v>
      </c>
      <c r="C61" s="2"/>
    </row>
    <row r="63" ht="22" customHeight="1" spans="2:3" x14ac:dyDescent="0.25">
      <c r="B63" s="3" t="s">
        <v>63</v>
      </c>
      <c r="C63" s="3"/>
    </row>
    <row r="64" spans="2:3" x14ac:dyDescent="0.25">
      <c r="B64" s="2" t="s">
        <v>64</v>
      </c>
      <c r="C64" s="2"/>
    </row>
    <row r="65" spans="2:3" x14ac:dyDescent="0.25">
      <c r="B65" s="2" t="s">
        <v>65</v>
      </c>
      <c r="C65" s="2"/>
    </row>
    <row r="66" spans="2:3" x14ac:dyDescent="0.25">
      <c r="B66" s="2" t="s">
        <v>66</v>
      </c>
      <c r="C66" s="2"/>
    </row>
    <row r="67" spans="2:3" x14ac:dyDescent="0.25">
      <c r="B67" s="2" t="s">
        <v>67</v>
      </c>
      <c r="C67" s="2"/>
    </row>
    <row r="69" ht="22" customHeight="1" spans="2:3" x14ac:dyDescent="0.25">
      <c r="B69" s="3" t="s">
        <v>68</v>
      </c>
      <c r="C69" s="3"/>
    </row>
    <row r="70" spans="2:3" x14ac:dyDescent="0.25">
      <c r="B70" s="2" t="s">
        <v>69</v>
      </c>
      <c r="C70" s="2"/>
    </row>
    <row r="71" spans="2:3" x14ac:dyDescent="0.25">
      <c r="B71" s="2" t="s">
        <v>70</v>
      </c>
      <c r="C71" s="2"/>
    </row>
    <row r="72" spans="2:3" x14ac:dyDescent="0.25">
      <c r="B72" s="2" t="s">
        <v>71</v>
      </c>
      <c r="C72" s="2"/>
    </row>
    <row r="74" spans="2:3" x14ac:dyDescent="0.25">
      <c r="B74" s="2" t="s">
        <v>72</v>
      </c>
      <c r="C74" s="2"/>
    </row>
  </sheetData>
  <mergeCells count="50">
    <mergeCell ref="B1:C1"/>
    <mergeCell ref="B3:C3"/>
    <mergeCell ref="B4:C4"/>
    <mergeCell ref="B6:C6"/>
    <mergeCell ref="B7:C7"/>
    <mergeCell ref="B8:C8"/>
    <mergeCell ref="B9:C9"/>
    <mergeCell ref="B10:C10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2:C22"/>
    <mergeCell ref="B23:C23"/>
    <mergeCell ref="B24:C24"/>
    <mergeCell ref="B25:C25"/>
    <mergeCell ref="B27:C27"/>
    <mergeCell ref="B28:C28"/>
    <mergeCell ref="B29:C29"/>
    <mergeCell ref="B30:C30"/>
    <mergeCell ref="B31:C31"/>
    <mergeCell ref="B32:C32"/>
    <mergeCell ref="B34:C34"/>
    <mergeCell ref="B35:C35"/>
    <mergeCell ref="B36:C36"/>
    <mergeCell ref="B37:C37"/>
    <mergeCell ref="B38:C38"/>
    <mergeCell ref="B54:C54"/>
    <mergeCell ref="B55:C55"/>
    <mergeCell ref="B56:C56"/>
    <mergeCell ref="B57:C57"/>
    <mergeCell ref="B58:C58"/>
    <mergeCell ref="B59:C59"/>
    <mergeCell ref="B60:C60"/>
    <mergeCell ref="B61:C61"/>
    <mergeCell ref="B63:C63"/>
    <mergeCell ref="B64:C64"/>
    <mergeCell ref="B65:C65"/>
    <mergeCell ref="B66:C66"/>
    <mergeCell ref="B67:C67"/>
    <mergeCell ref="B69:C69"/>
    <mergeCell ref="B70:C70"/>
    <mergeCell ref="B71:C71"/>
    <mergeCell ref="B72:C72"/>
    <mergeCell ref="B74:C7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0" customWidth="1"/>
  </cols>
  <sheetData>
    <row r="1" ht="32" customHeight="1" spans="1:3" x14ac:dyDescent="0.25">
      <c r="A1" s="6" t="s">
        <v>73</v>
      </c>
      <c r="B1" s="6" t="s">
        <v>74</v>
      </c>
      <c r="C1" s="6" t="s">
        <v>75</v>
      </c>
    </row>
    <row r="2" spans="1:3" x14ac:dyDescent="0.25">
      <c r="A2" s="7" t="s">
        <v>76</v>
      </c>
      <c r="B2" s="7" t="s">
        <v>77</v>
      </c>
      <c r="C2" s="5" t="s">
        <v>78</v>
      </c>
    </row>
    <row r="3" spans="1:3" x14ac:dyDescent="0.25">
      <c r="A3" s="7" t="s">
        <v>76</v>
      </c>
      <c r="B3" s="7" t="s">
        <v>79</v>
      </c>
      <c r="C3" s="5" t="s">
        <v>80</v>
      </c>
    </row>
    <row r="4" spans="1:3" x14ac:dyDescent="0.25">
      <c r="A4" s="7" t="s">
        <v>76</v>
      </c>
      <c r="B4" s="7" t="s">
        <v>81</v>
      </c>
      <c r="C4" s="5" t="s">
        <v>82</v>
      </c>
    </row>
    <row r="5" spans="1:3" x14ac:dyDescent="0.25">
      <c r="A5" s="7" t="s">
        <v>76</v>
      </c>
      <c r="B5" s="7" t="s">
        <v>83</v>
      </c>
      <c r="C5" s="5" t="s">
        <v>84</v>
      </c>
    </row>
    <row r="6" spans="1:3" x14ac:dyDescent="0.25">
      <c r="A6" s="7" t="s">
        <v>76</v>
      </c>
      <c r="B6" s="7" t="s">
        <v>85</v>
      </c>
      <c r="C6" s="5" t="s">
        <v>86</v>
      </c>
    </row>
    <row r="7" spans="1:3" x14ac:dyDescent="0.25">
      <c r="A7" s="7" t="s">
        <v>76</v>
      </c>
      <c r="B7" s="7" t="s">
        <v>87</v>
      </c>
      <c r="C7" s="5" t="s">
        <v>88</v>
      </c>
    </row>
    <row r="8" spans="1:3" x14ac:dyDescent="0.25">
      <c r="A8" s="7" t="s">
        <v>76</v>
      </c>
      <c r="B8" s="7" t="s">
        <v>89</v>
      </c>
      <c r="C8" s="5" t="s">
        <v>90</v>
      </c>
    </row>
    <row r="9" spans="1:3" x14ac:dyDescent="0.25">
      <c r="A9" s="7" t="s">
        <v>76</v>
      </c>
      <c r="B9" s="7" t="s">
        <v>91</v>
      </c>
      <c r="C9" s="5" t="s">
        <v>92</v>
      </c>
    </row>
    <row r="10" spans="1:3" x14ac:dyDescent="0.25">
      <c r="A10" s="7" t="s">
        <v>93</v>
      </c>
      <c r="B10" s="7" t="s">
        <v>94</v>
      </c>
      <c r="C10" s="5" t="s">
        <v>95</v>
      </c>
    </row>
    <row r="11" spans="1:3" x14ac:dyDescent="0.25">
      <c r="A11" s="7" t="s">
        <v>93</v>
      </c>
      <c r="B11" s="7" t="s">
        <v>96</v>
      </c>
      <c r="C11" s="5" t="s">
        <v>97</v>
      </c>
    </row>
    <row r="12" spans="1:3" x14ac:dyDescent="0.25">
      <c r="A12" s="7" t="s">
        <v>93</v>
      </c>
      <c r="B12" s="7" t="s">
        <v>98</v>
      </c>
      <c r="C12" s="5" t="s">
        <v>99</v>
      </c>
    </row>
    <row r="13" spans="1:3" x14ac:dyDescent="0.25">
      <c r="A13" s="7" t="s">
        <v>93</v>
      </c>
      <c r="B13" s="7" t="s">
        <v>100</v>
      </c>
      <c r="C13" s="5" t="s">
        <v>101</v>
      </c>
    </row>
    <row r="14" spans="1:3" x14ac:dyDescent="0.25">
      <c r="A14" s="7" t="s">
        <v>102</v>
      </c>
      <c r="B14" s="7" t="s">
        <v>103</v>
      </c>
      <c r="C14" s="5" t="s">
        <v>104</v>
      </c>
    </row>
    <row r="15" spans="1:3" x14ac:dyDescent="0.25">
      <c r="A15" s="7" t="s">
        <v>102</v>
      </c>
      <c r="B15" s="7" t="s">
        <v>105</v>
      </c>
      <c r="C15" s="5" t="s">
        <v>106</v>
      </c>
    </row>
    <row r="16" spans="1:3" x14ac:dyDescent="0.25">
      <c r="A16" s="7" t="s">
        <v>102</v>
      </c>
      <c r="B16" s="7" t="s">
        <v>100</v>
      </c>
      <c r="C16" s="5" t="s">
        <v>107</v>
      </c>
    </row>
    <row r="17" spans="1:3" x14ac:dyDescent="0.25">
      <c r="A17" s="7" t="s">
        <v>102</v>
      </c>
      <c r="B17" s="7" t="s">
        <v>89</v>
      </c>
      <c r="C17" s="5" t="s">
        <v>108</v>
      </c>
    </row>
    <row r="18" spans="1:3" x14ac:dyDescent="0.25">
      <c r="A18" s="7" t="s">
        <v>102</v>
      </c>
      <c r="B18" s="7" t="s">
        <v>109</v>
      </c>
      <c r="C18" s="5" t="s">
        <v>110</v>
      </c>
    </row>
    <row r="19" spans="1:3" x14ac:dyDescent="0.25">
      <c r="A19" s="7"/>
      <c r="B19" s="7"/>
      <c r="C19" s="5"/>
    </row>
    <row r="20" spans="1:3" x14ac:dyDescent="0.25">
      <c r="A20" s="7"/>
      <c r="B20" s="7"/>
      <c r="C20" s="5"/>
    </row>
    <row r="21" spans="1:3" x14ac:dyDescent="0.25">
      <c r="A21" s="7"/>
      <c r="B21" s="7"/>
      <c r="C21" s="5"/>
    </row>
    <row r="22" spans="1:3" x14ac:dyDescent="0.25">
      <c r="A22" s="7"/>
      <c r="B22" s="7"/>
      <c r="C22" s="5"/>
    </row>
    <row r="23" spans="1:3" x14ac:dyDescent="0.25">
      <c r="A23" s="7"/>
      <c r="B23" s="7"/>
      <c r="C23" s="5"/>
    </row>
    <row r="24" spans="1:3" x14ac:dyDescent="0.25">
      <c r="A24" s="7"/>
      <c r="B24" s="7"/>
      <c r="C24" s="5"/>
    </row>
    <row r="25" spans="1:3" x14ac:dyDescent="0.25">
      <c r="A25" s="7"/>
      <c r="B25" s="7"/>
      <c r="C25" s="5"/>
    </row>
    <row r="26" spans="1:3" x14ac:dyDescent="0.25">
      <c r="A26" s="7"/>
      <c r="B26" s="7"/>
      <c r="C26" s="5"/>
    </row>
    <row r="27" spans="1:3" x14ac:dyDescent="0.25">
      <c r="A27" s="7"/>
      <c r="B27" s="7"/>
      <c r="C27" s="5"/>
    </row>
    <row r="28" spans="1:3" x14ac:dyDescent="0.25">
      <c r="A28" s="7"/>
      <c r="B28" s="7"/>
      <c r="C28" s="5"/>
    </row>
    <row r="29" spans="1:3" x14ac:dyDescent="0.25">
      <c r="A29" s="7"/>
      <c r="B29" s="7"/>
      <c r="C29" s="5"/>
    </row>
    <row r="30" spans="1:3" x14ac:dyDescent="0.25">
      <c r="A30" s="7"/>
      <c r="B30" s="7"/>
      <c r="C30" s="5"/>
    </row>
    <row r="31" spans="1:3" x14ac:dyDescent="0.25">
      <c r="A31" s="7"/>
      <c r="B31" s="7"/>
      <c r="C31" s="5"/>
    </row>
    <row r="32" spans="1:3" x14ac:dyDescent="0.25">
      <c r="A32" s="7"/>
      <c r="B32" s="7"/>
      <c r="C32" s="5"/>
    </row>
    <row r="33" spans="1:3" x14ac:dyDescent="0.25">
      <c r="A33" s="7"/>
      <c r="B33" s="7"/>
      <c r="C33" s="5"/>
    </row>
    <row r="34" spans="1:3" x14ac:dyDescent="0.25">
      <c r="A34" s="7"/>
      <c r="B34" s="7"/>
      <c r="C34" s="5"/>
    </row>
    <row r="35" spans="1:3" x14ac:dyDescent="0.25">
      <c r="A35" s="7"/>
      <c r="B35" s="7"/>
      <c r="C35" s="5"/>
    </row>
    <row r="36" spans="1:3" x14ac:dyDescent="0.25">
      <c r="A36" s="7"/>
      <c r="B36" s="7"/>
      <c r="C36" s="5"/>
    </row>
    <row r="37" spans="1:3" x14ac:dyDescent="0.25">
      <c r="A37" s="7"/>
      <c r="B37" s="7"/>
      <c r="C37" s="5"/>
    </row>
    <row r="38" spans="1:3" x14ac:dyDescent="0.25">
      <c r="A38" s="7"/>
      <c r="B38" s="7"/>
      <c r="C38" s="5"/>
    </row>
    <row r="39" spans="1:3" x14ac:dyDescent="0.25">
      <c r="A39" s="7"/>
      <c r="B39" s="7"/>
      <c r="C39" s="5"/>
    </row>
    <row r="40" spans="1:3" x14ac:dyDescent="0.25">
      <c r="A40" s="7"/>
      <c r="B40" s="7"/>
      <c r="C40" s="5"/>
    </row>
    <row r="41" spans="1:3" x14ac:dyDescent="0.25">
      <c r="A41" s="7"/>
      <c r="B41" s="7"/>
      <c r="C41" s="5"/>
    </row>
    <row r="42" spans="1:3" x14ac:dyDescent="0.25">
      <c r="A42" s="7"/>
      <c r="B42" s="7"/>
      <c r="C42" s="5"/>
    </row>
    <row r="43" spans="1:3" x14ac:dyDescent="0.25">
      <c r="A43" s="7"/>
      <c r="B43" s="7"/>
      <c r="C43" s="5"/>
    </row>
    <row r="44" spans="1:3" x14ac:dyDescent="0.25">
      <c r="A44" s="7"/>
      <c r="B44" s="7"/>
      <c r="C44" s="5"/>
    </row>
    <row r="45" spans="1:3" x14ac:dyDescent="0.25">
      <c r="A45" s="7"/>
      <c r="B45" s="7"/>
      <c r="C45" s="5"/>
    </row>
    <row r="46" spans="1:3" x14ac:dyDescent="0.25">
      <c r="A46" s="7"/>
      <c r="B46" s="7"/>
      <c r="C46" s="5"/>
    </row>
    <row r="47" spans="1:3" x14ac:dyDescent="0.25">
      <c r="A47" s="7"/>
      <c r="B47" s="7"/>
      <c r="C47" s="5"/>
    </row>
    <row r="48" spans="1:3" x14ac:dyDescent="0.25">
      <c r="A48" s="7"/>
      <c r="B48" s="7"/>
      <c r="C48" s="5"/>
    </row>
    <row r="49" spans="1:3" x14ac:dyDescent="0.25">
      <c r="A49" s="7"/>
      <c r="B49" s="7"/>
      <c r="C49" s="5"/>
    </row>
    <row r="50" spans="1:3" x14ac:dyDescent="0.25">
      <c r="A50" s="7"/>
      <c r="B50" s="7"/>
      <c r="C50" s="5"/>
    </row>
    <row r="51" spans="1:3" x14ac:dyDescent="0.25">
      <c r="A51" s="7"/>
      <c r="B51" s="7"/>
      <c r="C51" s="5"/>
    </row>
    <row r="52" spans="1:3" x14ac:dyDescent="0.25">
      <c r="A52" s="7"/>
      <c r="B52" s="7"/>
      <c r="C52" s="5"/>
    </row>
    <row r="53" spans="1:3" x14ac:dyDescent="0.25">
      <c r="A53" s="7"/>
      <c r="B53" s="7"/>
      <c r="C53" s="5"/>
    </row>
    <row r="54" spans="1:3" x14ac:dyDescent="0.25">
      <c r="A54" s="7"/>
      <c r="B54" s="7"/>
      <c r="C54" s="5"/>
    </row>
    <row r="55" spans="1:3" x14ac:dyDescent="0.25">
      <c r="A55" s="7"/>
      <c r="B55" s="7"/>
      <c r="C55" s="5"/>
    </row>
    <row r="56" spans="1:3" x14ac:dyDescent="0.25">
      <c r="A56" s="7"/>
      <c r="B56" s="7"/>
      <c r="C56" s="5"/>
    </row>
    <row r="57" spans="1:3" x14ac:dyDescent="0.25">
      <c r="A57" s="7"/>
      <c r="B57" s="7"/>
      <c r="C57" s="5"/>
    </row>
    <row r="58" spans="1:3" x14ac:dyDescent="0.25">
      <c r="A58" s="7"/>
      <c r="B58" s="7"/>
      <c r="C58" s="5"/>
    </row>
    <row r="59" spans="1:3" x14ac:dyDescent="0.25">
      <c r="A59" s="7"/>
      <c r="B59" s="7"/>
      <c r="C59" s="5"/>
    </row>
    <row r="60" spans="1:3" x14ac:dyDescent="0.25">
      <c r="A60" s="7"/>
      <c r="B60" s="7"/>
      <c r="C60" s="5"/>
    </row>
    <row r="61" spans="1:3" x14ac:dyDescent="0.25">
      <c r="A61" s="7"/>
      <c r="B61" s="7"/>
      <c r="C61" s="5"/>
    </row>
    <row r="62" spans="1:3" x14ac:dyDescent="0.25">
      <c r="A62" s="7"/>
      <c r="B62" s="7"/>
      <c r="C62" s="5"/>
    </row>
    <row r="63" spans="1:3" x14ac:dyDescent="0.25">
      <c r="A63" s="7"/>
      <c r="B63" s="7"/>
      <c r="C63" s="5"/>
    </row>
    <row r="64" spans="1:3" x14ac:dyDescent="0.25">
      <c r="A64" s="7"/>
      <c r="B64" s="7"/>
      <c r="C64" s="5"/>
    </row>
    <row r="65" spans="1:3" x14ac:dyDescent="0.25">
      <c r="A65" s="7"/>
      <c r="B65" s="7"/>
      <c r="C65" s="5"/>
    </row>
    <row r="66" spans="1:3" x14ac:dyDescent="0.25">
      <c r="A66" s="7"/>
      <c r="B66" s="7"/>
      <c r="C66" s="5"/>
    </row>
    <row r="67" spans="1:3" x14ac:dyDescent="0.25">
      <c r="A67" s="7"/>
      <c r="B67" s="7"/>
      <c r="C67" s="5"/>
    </row>
    <row r="68" spans="1:3" x14ac:dyDescent="0.25">
      <c r="A68" s="7"/>
      <c r="B68" s="7"/>
      <c r="C68" s="5"/>
    </row>
    <row r="69" spans="1:3" x14ac:dyDescent="0.25">
      <c r="A69" s="7"/>
      <c r="B69" s="7"/>
      <c r="C69" s="5"/>
    </row>
    <row r="70" spans="1:3" x14ac:dyDescent="0.25">
      <c r="A70" s="7"/>
      <c r="B70" s="7"/>
      <c r="C70" s="5"/>
    </row>
    <row r="71" spans="1:3" x14ac:dyDescent="0.25">
      <c r="A71" s="7"/>
      <c r="B71" s="7"/>
      <c r="C71" s="5"/>
    </row>
    <row r="72" spans="1:3" x14ac:dyDescent="0.25">
      <c r="A72" s="7"/>
      <c r="B72" s="7"/>
      <c r="C72" s="5"/>
    </row>
    <row r="73" spans="1:3" x14ac:dyDescent="0.25">
      <c r="A73" s="7"/>
      <c r="B73" s="7"/>
      <c r="C73" s="5"/>
    </row>
    <row r="74" spans="1:3" x14ac:dyDescent="0.25">
      <c r="A74" s="7"/>
      <c r="B74" s="7"/>
      <c r="C74" s="5"/>
    </row>
    <row r="75" spans="1:3" x14ac:dyDescent="0.25">
      <c r="A75" s="7"/>
      <c r="B75" s="7"/>
      <c r="C75" s="5"/>
    </row>
    <row r="76" spans="1:3" x14ac:dyDescent="0.25">
      <c r="A76" s="7"/>
      <c r="B76" s="7"/>
      <c r="C76" s="5"/>
    </row>
    <row r="77" spans="1:3" x14ac:dyDescent="0.25">
      <c r="A77" s="7"/>
      <c r="B77" s="7"/>
      <c r="C77" s="5"/>
    </row>
    <row r="78" spans="1:3" x14ac:dyDescent="0.25">
      <c r="A78" s="7"/>
      <c r="B78" s="7"/>
      <c r="C78" s="5"/>
    </row>
    <row r="79" spans="1:3" x14ac:dyDescent="0.25">
      <c r="A79" s="7"/>
      <c r="B79" s="7"/>
      <c r="C79" s="5"/>
    </row>
    <row r="80" spans="1:3" x14ac:dyDescent="0.25">
      <c r="A80" s="7"/>
      <c r="B80" s="7"/>
      <c r="C80" s="5"/>
    </row>
    <row r="81" spans="1:3" x14ac:dyDescent="0.25">
      <c r="A81" s="7"/>
      <c r="B81" s="7"/>
      <c r="C81" s="5"/>
    </row>
    <row r="82" spans="1:3" x14ac:dyDescent="0.25">
      <c r="A82" s="7"/>
      <c r="B82" s="7"/>
      <c r="C82" s="5"/>
    </row>
    <row r="83" spans="1:3" x14ac:dyDescent="0.25">
      <c r="A83" s="7"/>
      <c r="B83" s="7"/>
      <c r="C83" s="5"/>
    </row>
    <row r="84" spans="1:3" x14ac:dyDescent="0.25">
      <c r="A84" s="7"/>
      <c r="B84" s="7"/>
      <c r="C84" s="5"/>
    </row>
    <row r="85" spans="1:3" x14ac:dyDescent="0.25">
      <c r="A85" s="7"/>
      <c r="B85" s="7"/>
      <c r="C85" s="5"/>
    </row>
    <row r="86" spans="1:3" x14ac:dyDescent="0.25">
      <c r="A86" s="7"/>
      <c r="B86" s="7"/>
      <c r="C86" s="5"/>
    </row>
    <row r="87" spans="1:3" x14ac:dyDescent="0.25">
      <c r="A87" s="7"/>
      <c r="B87" s="7"/>
      <c r="C87" s="5"/>
    </row>
    <row r="88" spans="1:3" x14ac:dyDescent="0.25">
      <c r="A88" s="7"/>
      <c r="B88" s="7"/>
      <c r="C88" s="5"/>
    </row>
    <row r="89" spans="1:3" x14ac:dyDescent="0.25">
      <c r="A89" s="7"/>
      <c r="B89" s="7"/>
      <c r="C89" s="5"/>
    </row>
    <row r="90" spans="1:3" x14ac:dyDescent="0.25">
      <c r="A90" s="7"/>
      <c r="B90" s="7"/>
      <c r="C90" s="5"/>
    </row>
    <row r="91" spans="1:3" x14ac:dyDescent="0.25">
      <c r="A91" s="7"/>
      <c r="B91" s="7"/>
      <c r="C91" s="5"/>
    </row>
    <row r="92" spans="1:3" x14ac:dyDescent="0.25">
      <c r="A92" s="7"/>
      <c r="B92" s="7"/>
      <c r="C92" s="5"/>
    </row>
    <row r="93" spans="1:3" x14ac:dyDescent="0.25">
      <c r="A93" s="7"/>
      <c r="B93" s="7"/>
      <c r="C93" s="5"/>
    </row>
    <row r="94" spans="1:3" x14ac:dyDescent="0.25">
      <c r="A94" s="7"/>
      <c r="B94" s="7"/>
      <c r="C94" s="5"/>
    </row>
    <row r="95" spans="1:3" x14ac:dyDescent="0.25">
      <c r="A95" s="7"/>
      <c r="B95" s="7"/>
      <c r="C95" s="5"/>
    </row>
    <row r="96" spans="1:3" x14ac:dyDescent="0.25">
      <c r="A96" s="7"/>
      <c r="B96" s="7"/>
      <c r="C96" s="5"/>
    </row>
    <row r="97" spans="1:3" x14ac:dyDescent="0.25">
      <c r="A97" s="7"/>
      <c r="B97" s="7"/>
      <c r="C97" s="5"/>
    </row>
    <row r="98" spans="1:3" x14ac:dyDescent="0.25">
      <c r="A98" s="7"/>
      <c r="B98" s="7"/>
      <c r="C98" s="5"/>
    </row>
    <row r="99" spans="1:3" x14ac:dyDescent="0.25">
      <c r="A99" s="7"/>
      <c r="B99" s="7"/>
      <c r="C99" s="5"/>
    </row>
    <row r="100" spans="1:3" x14ac:dyDescent="0.25">
      <c r="A100" s="7"/>
      <c r="B100" s="7"/>
      <c r="C100" s="5"/>
    </row>
    <row r="101" spans="1:3" x14ac:dyDescent="0.25">
      <c r="A101" s="7"/>
      <c r="B101" s="7"/>
      <c r="C101" s="5"/>
    </row>
    <row r="102" spans="1:3" x14ac:dyDescent="0.25">
      <c r="A102" s="7"/>
      <c r="B102" s="7"/>
      <c r="C102" s="5"/>
    </row>
    <row r="103" spans="1:3" x14ac:dyDescent="0.25">
      <c r="A103" s="7"/>
      <c r="B103" s="7"/>
      <c r="C103" s="5"/>
    </row>
    <row r="104" spans="1:3" x14ac:dyDescent="0.25">
      <c r="A104" s="7"/>
      <c r="B104" s="7"/>
      <c r="C104" s="5"/>
    </row>
    <row r="105" spans="1:3" x14ac:dyDescent="0.25">
      <c r="A105" s="7"/>
      <c r="B105" s="7"/>
      <c r="C105" s="5"/>
    </row>
    <row r="106" spans="1:3" x14ac:dyDescent="0.25">
      <c r="A106" s="7"/>
      <c r="B106" s="7"/>
      <c r="C106" s="5"/>
    </row>
    <row r="107" spans="1:3" x14ac:dyDescent="0.25">
      <c r="A107" s="7"/>
      <c r="B107" s="7"/>
      <c r="C107" s="5"/>
    </row>
    <row r="108" spans="1:3" x14ac:dyDescent="0.25">
      <c r="A108" s="7"/>
      <c r="B108" s="7"/>
      <c r="C108" s="5"/>
    </row>
    <row r="109" spans="1:3" x14ac:dyDescent="0.25">
      <c r="A109" s="7"/>
      <c r="B109" s="7"/>
      <c r="C109" s="5"/>
    </row>
    <row r="110" spans="1:3" x14ac:dyDescent="0.25">
      <c r="A110" s="7"/>
      <c r="B110" s="7"/>
      <c r="C110" s="5"/>
    </row>
    <row r="111" spans="1:3" x14ac:dyDescent="0.25">
      <c r="A111" s="7"/>
      <c r="B111" s="7"/>
      <c r="C111" s="5"/>
    </row>
    <row r="112" spans="1:3" x14ac:dyDescent="0.25">
      <c r="A112" s="7"/>
      <c r="B112" s="7"/>
      <c r="C112" s="5"/>
    </row>
    <row r="113" spans="1:3" x14ac:dyDescent="0.25">
      <c r="A113" s="7"/>
      <c r="B113" s="7"/>
      <c r="C113" s="5"/>
    </row>
    <row r="114" spans="1:3" x14ac:dyDescent="0.25">
      <c r="A114" s="7"/>
      <c r="B114" s="7"/>
      <c r="C114" s="5"/>
    </row>
    <row r="115" spans="1:3" x14ac:dyDescent="0.25">
      <c r="A115" s="7"/>
      <c r="B115" s="7"/>
      <c r="C115" s="5"/>
    </row>
    <row r="116" spans="1:3" x14ac:dyDescent="0.25">
      <c r="A116" s="7"/>
      <c r="B116" s="7"/>
      <c r="C116" s="5"/>
    </row>
    <row r="117" spans="1:3" x14ac:dyDescent="0.25">
      <c r="A117" s="7"/>
      <c r="B117" s="7"/>
      <c r="C117" s="5"/>
    </row>
    <row r="118" spans="1:3" x14ac:dyDescent="0.25">
      <c r="A118" s="7"/>
      <c r="B118" s="7"/>
      <c r="C118" s="5"/>
    </row>
    <row r="119" spans="1:3" x14ac:dyDescent="0.25">
      <c r="A119" s="7"/>
      <c r="B119" s="7"/>
      <c r="C119" s="5"/>
    </row>
    <row r="120" spans="1:3" x14ac:dyDescent="0.25">
      <c r="A120" s="7"/>
      <c r="B120" s="7"/>
      <c r="C120" s="5"/>
    </row>
    <row r="121" spans="1:3" x14ac:dyDescent="0.25">
      <c r="A121" s="7"/>
      <c r="B121" s="7"/>
      <c r="C121" s="5"/>
    </row>
    <row r="122" spans="1:3" x14ac:dyDescent="0.25">
      <c r="A122" s="7"/>
      <c r="B122" s="7"/>
      <c r="C122" s="5"/>
    </row>
    <row r="123" spans="1:3" x14ac:dyDescent="0.25">
      <c r="A123" s="7"/>
      <c r="B123" s="7"/>
      <c r="C123" s="5"/>
    </row>
    <row r="124" spans="1:3" x14ac:dyDescent="0.25">
      <c r="A124" s="7"/>
      <c r="B124" s="7"/>
      <c r="C124" s="5"/>
    </row>
    <row r="125" spans="1:3" x14ac:dyDescent="0.25">
      <c r="A125" s="7"/>
      <c r="B125" s="7"/>
      <c r="C125" s="5"/>
    </row>
    <row r="126" spans="1:3" x14ac:dyDescent="0.25">
      <c r="A126" s="7"/>
      <c r="B126" s="7"/>
      <c r="C126" s="5"/>
    </row>
    <row r="127" spans="1:3" x14ac:dyDescent="0.25">
      <c r="A127" s="7"/>
      <c r="B127" s="7"/>
      <c r="C127" s="5"/>
    </row>
    <row r="128" spans="1:3" x14ac:dyDescent="0.25">
      <c r="A128" s="7"/>
      <c r="B128" s="7"/>
      <c r="C128" s="5"/>
    </row>
    <row r="129" spans="1:3" x14ac:dyDescent="0.25">
      <c r="A129" s="7"/>
      <c r="B129" s="7"/>
      <c r="C129" s="5"/>
    </row>
    <row r="130" spans="1:3" x14ac:dyDescent="0.25">
      <c r="A130" s="7"/>
      <c r="B130" s="7"/>
      <c r="C130" s="5"/>
    </row>
    <row r="131" spans="1:3" x14ac:dyDescent="0.25">
      <c r="A131" s="7"/>
      <c r="B131" s="7"/>
      <c r="C131" s="5"/>
    </row>
    <row r="132" spans="1:3" x14ac:dyDescent="0.25">
      <c r="A132" s="7"/>
      <c r="B132" s="7"/>
      <c r="C132" s="5"/>
    </row>
    <row r="133" spans="1:3" x14ac:dyDescent="0.25">
      <c r="A133" s="7"/>
      <c r="B133" s="7"/>
      <c r="C133" s="5"/>
    </row>
    <row r="134" spans="1:3" x14ac:dyDescent="0.25">
      <c r="A134" s="7"/>
      <c r="B134" s="7"/>
      <c r="C134" s="5"/>
    </row>
    <row r="135" spans="1:3" x14ac:dyDescent="0.25">
      <c r="A135" s="7"/>
      <c r="B135" s="7"/>
      <c r="C135" s="5"/>
    </row>
    <row r="136" spans="1:3" x14ac:dyDescent="0.25">
      <c r="A136" s="7"/>
      <c r="B136" s="7"/>
      <c r="C136" s="5"/>
    </row>
    <row r="137" spans="1:3" x14ac:dyDescent="0.25">
      <c r="A137" s="7"/>
      <c r="B137" s="7"/>
      <c r="C137" s="5"/>
    </row>
    <row r="138" spans="1:3" x14ac:dyDescent="0.25">
      <c r="A138" s="7"/>
      <c r="B138" s="7"/>
      <c r="C138" s="5"/>
    </row>
    <row r="139" spans="1:3" x14ac:dyDescent="0.25">
      <c r="A139" s="7"/>
      <c r="B139" s="7"/>
      <c r="C139" s="5"/>
    </row>
    <row r="140" spans="1:3" x14ac:dyDescent="0.25">
      <c r="A140" s="7"/>
      <c r="B140" s="7"/>
      <c r="C140" s="5"/>
    </row>
    <row r="141" spans="1:3" x14ac:dyDescent="0.25">
      <c r="A141" s="7"/>
      <c r="B141" s="7"/>
      <c r="C141" s="5"/>
    </row>
    <row r="142" spans="1:3" x14ac:dyDescent="0.25">
      <c r="A142" s="7"/>
      <c r="B142" s="7"/>
      <c r="C142" s="5"/>
    </row>
    <row r="143" spans="1:3" x14ac:dyDescent="0.25">
      <c r="A143" s="7"/>
      <c r="B143" s="7"/>
      <c r="C143" s="5"/>
    </row>
    <row r="144" spans="1:3" x14ac:dyDescent="0.25">
      <c r="A144" s="7"/>
      <c r="B144" s="7"/>
      <c r="C144" s="5"/>
    </row>
    <row r="145" spans="1:3" x14ac:dyDescent="0.25">
      <c r="A145" s="7"/>
      <c r="B145" s="7"/>
      <c r="C145" s="5"/>
    </row>
    <row r="146" spans="1:3" x14ac:dyDescent="0.25">
      <c r="A146" s="7"/>
      <c r="B146" s="7"/>
      <c r="C146" s="5"/>
    </row>
    <row r="147" spans="1:3" x14ac:dyDescent="0.25">
      <c r="A147" s="7"/>
      <c r="B147" s="7"/>
      <c r="C147" s="5"/>
    </row>
    <row r="148" spans="1:3" x14ac:dyDescent="0.25">
      <c r="A148" s="7"/>
      <c r="B148" s="7"/>
      <c r="C148" s="5"/>
    </row>
    <row r="149" spans="1:3" x14ac:dyDescent="0.25">
      <c r="A149" s="7"/>
      <c r="B149" s="7"/>
      <c r="C149" s="5"/>
    </row>
    <row r="150" spans="1:3" x14ac:dyDescent="0.25">
      <c r="A150" s="7"/>
      <c r="B150" s="7"/>
      <c r="C150" s="5"/>
    </row>
    <row r="151" spans="1:3" x14ac:dyDescent="0.25">
      <c r="A151" s="7"/>
      <c r="B151" s="7"/>
      <c r="C151" s="5"/>
    </row>
    <row r="152" spans="1:3" x14ac:dyDescent="0.25">
      <c r="A152" s="7"/>
      <c r="B152" s="7"/>
      <c r="C152" s="5"/>
    </row>
    <row r="153" spans="1:3" x14ac:dyDescent="0.25">
      <c r="A153" s="7"/>
      <c r="B153" s="7"/>
      <c r="C153" s="5"/>
    </row>
    <row r="154" spans="1:3" x14ac:dyDescent="0.25">
      <c r="A154" s="7"/>
      <c r="B154" s="7"/>
      <c r="C154" s="5"/>
    </row>
    <row r="155" spans="1:3" x14ac:dyDescent="0.25">
      <c r="A155" s="7"/>
      <c r="B155" s="7"/>
      <c r="C155" s="5"/>
    </row>
    <row r="156" spans="1:3" x14ac:dyDescent="0.25">
      <c r="A156" s="7"/>
      <c r="B156" s="7"/>
      <c r="C156" s="5"/>
    </row>
    <row r="157" spans="1:3" x14ac:dyDescent="0.25">
      <c r="A157" s="7"/>
      <c r="B157" s="7"/>
      <c r="C157" s="5"/>
    </row>
    <row r="158" spans="1:3" x14ac:dyDescent="0.25">
      <c r="A158" s="7"/>
      <c r="B158" s="7"/>
      <c r="C158" s="5"/>
    </row>
    <row r="159" spans="1:3" x14ac:dyDescent="0.25">
      <c r="A159" s="7"/>
      <c r="B159" s="7"/>
      <c r="C159" s="5"/>
    </row>
    <row r="160" spans="1:3" x14ac:dyDescent="0.25">
      <c r="A160" s="7"/>
      <c r="B160" s="7"/>
      <c r="C160" s="5"/>
    </row>
    <row r="161" spans="1:3" x14ac:dyDescent="0.25">
      <c r="A161" s="7"/>
      <c r="B161" s="7"/>
      <c r="C161" s="5"/>
    </row>
    <row r="162" spans="1:3" x14ac:dyDescent="0.25">
      <c r="A162" s="7"/>
      <c r="B162" s="7"/>
      <c r="C162" s="5"/>
    </row>
    <row r="163" spans="1:3" x14ac:dyDescent="0.25">
      <c r="A163" s="7"/>
      <c r="B163" s="7"/>
      <c r="C163" s="5"/>
    </row>
    <row r="164" spans="1:3" x14ac:dyDescent="0.25">
      <c r="A164" s="7"/>
      <c r="B164" s="7"/>
      <c r="C164" s="5"/>
    </row>
    <row r="165" spans="1:3" x14ac:dyDescent="0.25">
      <c r="A165" s="7"/>
      <c r="B165" s="7"/>
      <c r="C165" s="5"/>
    </row>
    <row r="166" spans="1:3" x14ac:dyDescent="0.25">
      <c r="A166" s="7"/>
      <c r="B166" s="7"/>
      <c r="C166" s="5"/>
    </row>
    <row r="167" spans="1:3" x14ac:dyDescent="0.25">
      <c r="A167" s="7"/>
      <c r="B167" s="7"/>
      <c r="C167" s="5"/>
    </row>
    <row r="168" spans="1:3" x14ac:dyDescent="0.25">
      <c r="A168" s="7"/>
      <c r="B168" s="7"/>
      <c r="C168" s="5"/>
    </row>
    <row r="169" spans="1:3" x14ac:dyDescent="0.25">
      <c r="A169" s="7"/>
      <c r="B169" s="7"/>
      <c r="C169" s="5"/>
    </row>
    <row r="170" spans="1:3" x14ac:dyDescent="0.25">
      <c r="A170" s="7"/>
      <c r="B170" s="7"/>
      <c r="C170" s="5"/>
    </row>
    <row r="171" spans="1:3" x14ac:dyDescent="0.25">
      <c r="A171" s="7"/>
      <c r="B171" s="7"/>
      <c r="C171" s="5"/>
    </row>
    <row r="172" spans="1:3" x14ac:dyDescent="0.25">
      <c r="A172" s="7"/>
      <c r="B172" s="7"/>
      <c r="C172" s="5"/>
    </row>
    <row r="173" spans="1:3" x14ac:dyDescent="0.25">
      <c r="A173" s="7"/>
      <c r="B173" s="7"/>
      <c r="C173" s="5"/>
    </row>
    <row r="174" spans="1:3" x14ac:dyDescent="0.25">
      <c r="A174" s="7"/>
      <c r="B174" s="7"/>
      <c r="C174" s="5"/>
    </row>
    <row r="175" spans="1:3" x14ac:dyDescent="0.25">
      <c r="A175" s="7"/>
      <c r="B175" s="7"/>
      <c r="C175" s="5"/>
    </row>
    <row r="176" spans="1:3" x14ac:dyDescent="0.25">
      <c r="A176" s="7"/>
      <c r="B176" s="7"/>
      <c r="C176" s="5"/>
    </row>
    <row r="177" spans="1:3" x14ac:dyDescent="0.25">
      <c r="A177" s="7"/>
      <c r="B177" s="7"/>
      <c r="C177" s="5"/>
    </row>
    <row r="178" spans="1:3" x14ac:dyDescent="0.25">
      <c r="A178" s="7"/>
      <c r="B178" s="7"/>
      <c r="C178" s="5"/>
    </row>
    <row r="179" spans="1:3" x14ac:dyDescent="0.25">
      <c r="A179" s="7"/>
      <c r="B179" s="7"/>
      <c r="C179" s="5"/>
    </row>
    <row r="180" spans="1:3" x14ac:dyDescent="0.25">
      <c r="A180" s="7"/>
      <c r="B180" s="7"/>
      <c r="C180" s="5"/>
    </row>
    <row r="181" spans="1:3" x14ac:dyDescent="0.25">
      <c r="A181" s="7"/>
      <c r="B181" s="7"/>
      <c r="C181" s="5"/>
    </row>
    <row r="182" spans="1:3" x14ac:dyDescent="0.25">
      <c r="A182" s="7"/>
      <c r="B182" s="7"/>
      <c r="C182" s="5"/>
    </row>
    <row r="183" spans="1:3" x14ac:dyDescent="0.25">
      <c r="A183" s="7"/>
      <c r="B183" s="7"/>
      <c r="C183" s="5"/>
    </row>
    <row r="184" spans="1:3" x14ac:dyDescent="0.25">
      <c r="A184" s="7"/>
      <c r="B184" s="7"/>
      <c r="C184" s="5"/>
    </row>
    <row r="185" spans="1:3" x14ac:dyDescent="0.25">
      <c r="A185" s="7"/>
      <c r="B185" s="7"/>
      <c r="C185" s="5"/>
    </row>
    <row r="186" spans="1:3" x14ac:dyDescent="0.25">
      <c r="A186" s="7"/>
      <c r="B186" s="7"/>
      <c r="C186" s="5"/>
    </row>
    <row r="187" spans="1:3" x14ac:dyDescent="0.25">
      <c r="A187" s="7"/>
      <c r="B187" s="7"/>
      <c r="C187" s="5"/>
    </row>
    <row r="188" spans="1:3" x14ac:dyDescent="0.25">
      <c r="A188" s="7"/>
      <c r="B188" s="7"/>
      <c r="C188" s="5"/>
    </row>
    <row r="189" spans="1:3" x14ac:dyDescent="0.25">
      <c r="A189" s="7"/>
      <c r="B189" s="7"/>
      <c r="C189" s="5"/>
    </row>
    <row r="190" spans="1:3" x14ac:dyDescent="0.25">
      <c r="A190" s="7"/>
      <c r="B190" s="7"/>
      <c r="C190" s="5"/>
    </row>
    <row r="191" spans="1:3" x14ac:dyDescent="0.25">
      <c r="A191" s="7"/>
      <c r="B191" s="7"/>
      <c r="C191" s="5"/>
    </row>
    <row r="192" spans="1:3" x14ac:dyDescent="0.25">
      <c r="A192" s="7"/>
      <c r="B192" s="7"/>
      <c r="C192" s="5"/>
    </row>
    <row r="193" spans="1:3" x14ac:dyDescent="0.25">
      <c r="A193" s="7"/>
      <c r="B193" s="7"/>
      <c r="C193" s="5"/>
    </row>
    <row r="194" spans="1:3" x14ac:dyDescent="0.25">
      <c r="A194" s="7"/>
      <c r="B194" s="7"/>
      <c r="C194" s="5"/>
    </row>
    <row r="195" spans="1:3" x14ac:dyDescent="0.25">
      <c r="A195" s="7"/>
      <c r="B195" s="7"/>
      <c r="C195" s="5"/>
    </row>
    <row r="196" spans="1:3" x14ac:dyDescent="0.25">
      <c r="A196" s="7"/>
      <c r="B196" s="7"/>
      <c r="C196" s="5"/>
    </row>
    <row r="197" spans="1:3" x14ac:dyDescent="0.25">
      <c r="A197" s="7"/>
      <c r="B197" s="7"/>
      <c r="C197" s="5"/>
    </row>
    <row r="198" spans="1:3" x14ac:dyDescent="0.25">
      <c r="A198" s="7"/>
      <c r="B198" s="7"/>
      <c r="C198" s="5"/>
    </row>
    <row r="199" spans="1:3" x14ac:dyDescent="0.25">
      <c r="A199" s="7"/>
      <c r="B199" s="7"/>
      <c r="C199" s="5"/>
    </row>
    <row r="200" spans="1:3" x14ac:dyDescent="0.25">
      <c r="A200" s="7"/>
      <c r="B200" s="7"/>
      <c r="C200" s="5"/>
    </row>
    <row r="201" spans="1:3" x14ac:dyDescent="0.25">
      <c r="A201" s="7"/>
      <c r="B201" s="7"/>
      <c r="C201" s="5"/>
    </row>
    <row r="202" spans="1:3" x14ac:dyDescent="0.25">
      <c r="A202" s="7"/>
      <c r="B202" s="7"/>
      <c r="C202" s="5"/>
    </row>
    <row r="203" spans="1:3" x14ac:dyDescent="0.25">
      <c r="A203" s="7"/>
      <c r="B203" s="7"/>
      <c r="C203" s="5"/>
    </row>
    <row r="204" spans="1:3" x14ac:dyDescent="0.25">
      <c r="A204" s="7"/>
      <c r="B204" s="7"/>
      <c r="C204" s="5"/>
    </row>
    <row r="205" spans="1:3" x14ac:dyDescent="0.25">
      <c r="A205" s="7"/>
      <c r="B205" s="7"/>
      <c r="C205" s="5"/>
    </row>
    <row r="206" spans="1:3" x14ac:dyDescent="0.25">
      <c r="A206" s="7"/>
      <c r="B206" s="7"/>
      <c r="C206" s="5"/>
    </row>
    <row r="207" spans="1:3" x14ac:dyDescent="0.25">
      <c r="A207" s="7"/>
      <c r="B207" s="7"/>
      <c r="C207" s="5"/>
    </row>
    <row r="208" spans="1:3" x14ac:dyDescent="0.25">
      <c r="A208" s="7"/>
      <c r="B208" s="7"/>
      <c r="C208" s="5"/>
    </row>
    <row r="209" spans="1:3" x14ac:dyDescent="0.25">
      <c r="A209" s="7"/>
      <c r="B209" s="7"/>
      <c r="C209" s="5"/>
    </row>
    <row r="210" spans="1:3" x14ac:dyDescent="0.25">
      <c r="A210" s="7"/>
      <c r="B210" s="7"/>
      <c r="C210" s="5"/>
    </row>
    <row r="211" spans="1:3" x14ac:dyDescent="0.25">
      <c r="A211" s="7"/>
      <c r="B211" s="7"/>
      <c r="C211" s="5"/>
    </row>
    <row r="212" spans="1:3" x14ac:dyDescent="0.25">
      <c r="A212" s="7"/>
      <c r="B212" s="7"/>
      <c r="C212" s="5"/>
    </row>
    <row r="213" spans="1:3" x14ac:dyDescent="0.25">
      <c r="A213" s="7"/>
      <c r="B213" s="7"/>
      <c r="C213" s="5"/>
    </row>
    <row r="214" spans="1:3" x14ac:dyDescent="0.25">
      <c r="A214" s="7"/>
      <c r="B214" s="7"/>
      <c r="C214" s="5"/>
    </row>
    <row r="215" spans="1:3" x14ac:dyDescent="0.25">
      <c r="A215" s="7"/>
      <c r="B215" s="7"/>
      <c r="C215" s="5"/>
    </row>
    <row r="216" spans="1:3" x14ac:dyDescent="0.25">
      <c r="A216" s="7"/>
      <c r="B216" s="7"/>
      <c r="C216" s="5"/>
    </row>
    <row r="217" spans="1:3" x14ac:dyDescent="0.25">
      <c r="A217" s="7"/>
      <c r="B217" s="7"/>
      <c r="C217" s="5"/>
    </row>
    <row r="218" spans="1:3" x14ac:dyDescent="0.25">
      <c r="A218" s="7"/>
      <c r="B218" s="7"/>
      <c r="C218" s="5"/>
    </row>
    <row r="219" spans="1:3" x14ac:dyDescent="0.25">
      <c r="A219" s="7"/>
      <c r="B219" s="7"/>
      <c r="C219" s="5"/>
    </row>
    <row r="220" spans="1:3" x14ac:dyDescent="0.25">
      <c r="A220" s="7"/>
      <c r="B220" s="7"/>
      <c r="C220" s="5"/>
    </row>
    <row r="221" spans="1:3" x14ac:dyDescent="0.25">
      <c r="A221" s="7"/>
      <c r="B221" s="7"/>
      <c r="C221" s="5"/>
    </row>
    <row r="222" spans="1:3" x14ac:dyDescent="0.25">
      <c r="A222" s="7"/>
      <c r="B222" s="7"/>
      <c r="C222" s="5"/>
    </row>
    <row r="223" spans="1:3" x14ac:dyDescent="0.25">
      <c r="A223" s="7"/>
      <c r="B223" s="7"/>
      <c r="C223" s="5"/>
    </row>
    <row r="224" spans="1:3" x14ac:dyDescent="0.25">
      <c r="A224" s="7"/>
      <c r="B224" s="7"/>
      <c r="C224" s="5"/>
    </row>
    <row r="225" spans="1:3" x14ac:dyDescent="0.25">
      <c r="A225" s="7"/>
      <c r="B225" s="7"/>
      <c r="C225" s="5"/>
    </row>
    <row r="226" spans="1:3" x14ac:dyDescent="0.25">
      <c r="A226" s="7"/>
      <c r="B226" s="7"/>
      <c r="C226" s="5"/>
    </row>
    <row r="227" spans="1:3" x14ac:dyDescent="0.25">
      <c r="A227" s="7"/>
      <c r="B227" s="7"/>
      <c r="C227" s="5"/>
    </row>
    <row r="228" spans="1:3" x14ac:dyDescent="0.25">
      <c r="A228" s="7"/>
      <c r="B228" s="7"/>
      <c r="C228" s="5"/>
    </row>
    <row r="229" spans="1:3" x14ac:dyDescent="0.25">
      <c r="A229" s="7"/>
      <c r="B229" s="7"/>
      <c r="C229" s="5"/>
    </row>
    <row r="230" spans="1:3" x14ac:dyDescent="0.25">
      <c r="A230" s="7"/>
      <c r="B230" s="7"/>
      <c r="C230" s="5"/>
    </row>
    <row r="231" spans="1:3" x14ac:dyDescent="0.25">
      <c r="A231" s="7"/>
      <c r="B231" s="7"/>
      <c r="C231" s="5"/>
    </row>
    <row r="232" spans="1:3" x14ac:dyDescent="0.25">
      <c r="A232" s="7"/>
      <c r="B232" s="7"/>
      <c r="C232" s="5"/>
    </row>
    <row r="233" spans="1:3" x14ac:dyDescent="0.25">
      <c r="A233" s="7"/>
      <c r="B233" s="7"/>
      <c r="C233" s="5"/>
    </row>
    <row r="234" spans="1:3" x14ac:dyDescent="0.25">
      <c r="A234" s="7"/>
      <c r="B234" s="7"/>
      <c r="C234" s="5"/>
    </row>
    <row r="235" spans="1:3" x14ac:dyDescent="0.25">
      <c r="A235" s="7"/>
      <c r="B235" s="7"/>
      <c r="C235" s="5"/>
    </row>
    <row r="236" spans="1:3" x14ac:dyDescent="0.25">
      <c r="A236" s="7"/>
      <c r="B236" s="7"/>
      <c r="C236" s="5"/>
    </row>
    <row r="237" spans="1:3" x14ac:dyDescent="0.25">
      <c r="A237" s="7"/>
      <c r="B237" s="7"/>
      <c r="C237" s="5"/>
    </row>
    <row r="238" spans="1:3" x14ac:dyDescent="0.25">
      <c r="A238" s="7"/>
      <c r="B238" s="7"/>
      <c r="C238" s="5"/>
    </row>
    <row r="239" spans="1:3" x14ac:dyDescent="0.25">
      <c r="A239" s="7"/>
      <c r="B239" s="7"/>
      <c r="C239" s="5"/>
    </row>
    <row r="240" spans="1:3" x14ac:dyDescent="0.25">
      <c r="A240" s="7"/>
      <c r="B240" s="7"/>
      <c r="C240" s="5"/>
    </row>
    <row r="241" spans="1:3" x14ac:dyDescent="0.25">
      <c r="A241" s="7"/>
      <c r="B241" s="7"/>
      <c r="C241" s="5"/>
    </row>
    <row r="242" spans="1:3" x14ac:dyDescent="0.25">
      <c r="A242" s="7"/>
      <c r="B242" s="7"/>
      <c r="C242" s="5"/>
    </row>
    <row r="243" spans="1:3" x14ac:dyDescent="0.25">
      <c r="A243" s="7"/>
      <c r="B243" s="7"/>
      <c r="C243" s="5"/>
    </row>
    <row r="244" spans="1:3" x14ac:dyDescent="0.25">
      <c r="A244" s="7"/>
      <c r="B244" s="7"/>
      <c r="C244" s="5"/>
    </row>
    <row r="245" spans="1:3" x14ac:dyDescent="0.25">
      <c r="A245" s="7"/>
      <c r="B245" s="7"/>
      <c r="C245" s="5"/>
    </row>
    <row r="246" spans="1:3" x14ac:dyDescent="0.25">
      <c r="A246" s="7"/>
      <c r="B246" s="7"/>
      <c r="C246" s="5"/>
    </row>
    <row r="247" spans="1:3" x14ac:dyDescent="0.25">
      <c r="A247" s="7"/>
      <c r="B247" s="7"/>
      <c r="C247" s="5"/>
    </row>
    <row r="248" spans="1:3" x14ac:dyDescent="0.25">
      <c r="A248" s="7"/>
      <c r="B248" s="7"/>
      <c r="C248" s="5"/>
    </row>
    <row r="249" spans="1:3" x14ac:dyDescent="0.25">
      <c r="A249" s="7"/>
      <c r="B249" s="7"/>
      <c r="C249" s="5"/>
    </row>
    <row r="250" spans="1:3" x14ac:dyDescent="0.25">
      <c r="A250" s="7"/>
      <c r="B250" s="7"/>
      <c r="C250" s="5"/>
    </row>
    <row r="251" spans="1:3" x14ac:dyDescent="0.25">
      <c r="A251" s="7"/>
      <c r="B251" s="7"/>
      <c r="C251" s="5"/>
    </row>
    <row r="252" spans="1:3" x14ac:dyDescent="0.25">
      <c r="A252" s="7"/>
      <c r="B252" s="7"/>
      <c r="C252" s="5"/>
    </row>
    <row r="253" spans="1:3" x14ac:dyDescent="0.25">
      <c r="A253" s="7"/>
      <c r="B253" s="7"/>
      <c r="C253" s="5"/>
    </row>
    <row r="254" spans="1:3" x14ac:dyDescent="0.25">
      <c r="A254" s="7"/>
      <c r="B254" s="7"/>
      <c r="C254" s="5"/>
    </row>
    <row r="255" spans="1:3" x14ac:dyDescent="0.25">
      <c r="A255" s="7"/>
      <c r="B255" s="7"/>
      <c r="C255" s="5"/>
    </row>
    <row r="256" spans="1:3" x14ac:dyDescent="0.25">
      <c r="A256" s="7"/>
      <c r="B256" s="7"/>
      <c r="C256" s="5"/>
    </row>
    <row r="257" spans="1:3" x14ac:dyDescent="0.25">
      <c r="A257" s="7"/>
      <c r="B257" s="7"/>
      <c r="C257" s="5"/>
    </row>
    <row r="258" spans="1:3" x14ac:dyDescent="0.25">
      <c r="A258" s="7"/>
      <c r="B258" s="7"/>
      <c r="C258" s="5"/>
    </row>
    <row r="259" spans="1:3" x14ac:dyDescent="0.25">
      <c r="A259" s="7"/>
      <c r="B259" s="7"/>
      <c r="C259" s="5"/>
    </row>
    <row r="260" spans="1:3" x14ac:dyDescent="0.25">
      <c r="A260" s="7"/>
      <c r="B260" s="7"/>
      <c r="C260" s="5"/>
    </row>
    <row r="261" spans="1:3" x14ac:dyDescent="0.25">
      <c r="A261" s="7"/>
      <c r="B261" s="7"/>
      <c r="C261" s="5"/>
    </row>
    <row r="262" spans="1:3" x14ac:dyDescent="0.25">
      <c r="A262" s="7"/>
      <c r="B262" s="7"/>
      <c r="C262" s="5"/>
    </row>
    <row r="263" spans="1:3" x14ac:dyDescent="0.25">
      <c r="A263" s="7"/>
      <c r="B263" s="7"/>
      <c r="C263" s="5"/>
    </row>
    <row r="264" spans="1:3" x14ac:dyDescent="0.25">
      <c r="A264" s="7"/>
      <c r="B264" s="7"/>
      <c r="C264" s="5"/>
    </row>
    <row r="265" spans="1:3" x14ac:dyDescent="0.25">
      <c r="A265" s="7"/>
      <c r="B265" s="7"/>
      <c r="C265" s="5"/>
    </row>
    <row r="266" spans="1:3" x14ac:dyDescent="0.25">
      <c r="A266" s="7"/>
      <c r="B266" s="7"/>
      <c r="C266" s="5"/>
    </row>
    <row r="267" spans="1:3" x14ac:dyDescent="0.25">
      <c r="A267" s="7"/>
      <c r="B267" s="7"/>
      <c r="C267" s="5"/>
    </row>
    <row r="268" spans="1:3" x14ac:dyDescent="0.25">
      <c r="A268" s="7"/>
      <c r="B268" s="7"/>
      <c r="C268" s="5"/>
    </row>
    <row r="269" spans="1:3" x14ac:dyDescent="0.25">
      <c r="A269" s="7"/>
      <c r="B269" s="7"/>
      <c r="C269" s="5"/>
    </row>
    <row r="270" spans="1:3" x14ac:dyDescent="0.25">
      <c r="A270" s="7"/>
      <c r="B270" s="7"/>
      <c r="C270" s="5"/>
    </row>
    <row r="271" spans="1:3" x14ac:dyDescent="0.25">
      <c r="A271" s="7"/>
      <c r="B271" s="7"/>
      <c r="C271" s="5"/>
    </row>
    <row r="272" spans="1:3" x14ac:dyDescent="0.25">
      <c r="A272" s="7"/>
      <c r="B272" s="7"/>
      <c r="C272" s="5"/>
    </row>
    <row r="273" spans="1:3" x14ac:dyDescent="0.25">
      <c r="A273" s="7"/>
      <c r="B273" s="7"/>
      <c r="C273" s="5"/>
    </row>
    <row r="274" spans="1:3" x14ac:dyDescent="0.25">
      <c r="A274" s="7"/>
      <c r="B274" s="7"/>
      <c r="C274" s="5"/>
    </row>
    <row r="275" spans="1:3" x14ac:dyDescent="0.25">
      <c r="A275" s="7"/>
      <c r="B275" s="7"/>
      <c r="C275" s="5"/>
    </row>
    <row r="276" spans="1:3" x14ac:dyDescent="0.25">
      <c r="A276" s="7"/>
      <c r="B276" s="7"/>
      <c r="C276" s="5"/>
    </row>
    <row r="277" spans="1:3" x14ac:dyDescent="0.25">
      <c r="A277" s="7"/>
      <c r="B277" s="7"/>
      <c r="C277" s="5"/>
    </row>
    <row r="278" spans="1:3" x14ac:dyDescent="0.25">
      <c r="A278" s="7"/>
      <c r="B278" s="7"/>
      <c r="C278" s="5"/>
    </row>
    <row r="279" spans="1:3" x14ac:dyDescent="0.25">
      <c r="A279" s="7"/>
      <c r="B279" s="7"/>
      <c r="C279" s="5"/>
    </row>
    <row r="280" spans="1:3" x14ac:dyDescent="0.25">
      <c r="A280" s="7"/>
      <c r="B280" s="7"/>
      <c r="C280" s="5"/>
    </row>
    <row r="281" spans="1:3" x14ac:dyDescent="0.25">
      <c r="A281" s="7"/>
      <c r="B281" s="7"/>
      <c r="C281" s="5"/>
    </row>
    <row r="282" spans="1:3" x14ac:dyDescent="0.25">
      <c r="A282" s="7"/>
      <c r="B282" s="7"/>
      <c r="C282" s="5"/>
    </row>
    <row r="283" spans="1:3" x14ac:dyDescent="0.25">
      <c r="A283" s="7"/>
      <c r="B283" s="7"/>
      <c r="C283" s="5"/>
    </row>
    <row r="284" spans="1:3" x14ac:dyDescent="0.25">
      <c r="A284" s="7"/>
      <c r="B284" s="7"/>
      <c r="C284" s="5"/>
    </row>
    <row r="285" spans="1:3" x14ac:dyDescent="0.25">
      <c r="A285" s="7"/>
      <c r="B285" s="7"/>
      <c r="C285" s="5"/>
    </row>
    <row r="286" spans="1:3" x14ac:dyDescent="0.25">
      <c r="A286" s="7"/>
      <c r="B286" s="7"/>
      <c r="C286" s="5"/>
    </row>
    <row r="287" spans="1:3" x14ac:dyDescent="0.25">
      <c r="A287" s="7"/>
      <c r="B287" s="7"/>
      <c r="C287" s="5"/>
    </row>
    <row r="288" spans="1:3" x14ac:dyDescent="0.25">
      <c r="A288" s="7"/>
      <c r="B288" s="7"/>
      <c r="C288" s="5"/>
    </row>
    <row r="289" spans="1:3" x14ac:dyDescent="0.25">
      <c r="A289" s="7"/>
      <c r="B289" s="7"/>
      <c r="C289" s="5"/>
    </row>
    <row r="290" spans="1:3" x14ac:dyDescent="0.25">
      <c r="A290" s="7"/>
      <c r="B290" s="7"/>
      <c r="C290" s="5"/>
    </row>
    <row r="291" spans="1:3" x14ac:dyDescent="0.25">
      <c r="A291" s="7"/>
      <c r="B291" s="7"/>
      <c r="C291" s="5"/>
    </row>
    <row r="292" spans="1:3" x14ac:dyDescent="0.25">
      <c r="A292" s="7"/>
      <c r="B292" s="7"/>
      <c r="C292" s="5"/>
    </row>
    <row r="293" spans="1:3" x14ac:dyDescent="0.25">
      <c r="A293" s="7"/>
      <c r="B293" s="7"/>
      <c r="C293" s="5"/>
    </row>
    <row r="294" spans="1:3" x14ac:dyDescent="0.25">
      <c r="A294" s="7"/>
      <c r="B294" s="7"/>
      <c r="C294" s="5"/>
    </row>
    <row r="295" spans="1:3" x14ac:dyDescent="0.25">
      <c r="A295" s="7"/>
      <c r="B295" s="7"/>
      <c r="C295" s="5"/>
    </row>
    <row r="296" spans="1:3" x14ac:dyDescent="0.25">
      <c r="A296" s="7"/>
      <c r="B296" s="7"/>
      <c r="C296" s="5"/>
    </row>
    <row r="297" spans="1:3" x14ac:dyDescent="0.25">
      <c r="A297" s="7"/>
      <c r="B297" s="7"/>
      <c r="C297" s="5"/>
    </row>
    <row r="298" spans="1:3" x14ac:dyDescent="0.25">
      <c r="A298" s="7"/>
      <c r="B298" s="7"/>
      <c r="C298" s="5"/>
    </row>
    <row r="299" spans="1:3" x14ac:dyDescent="0.25">
      <c r="A299" s="7"/>
      <c r="B299" s="7"/>
      <c r="C299" s="5"/>
    </row>
    <row r="300" spans="1:3" x14ac:dyDescent="0.25">
      <c r="A300" s="7"/>
      <c r="B300" s="7"/>
      <c r="C300" s="5"/>
    </row>
    <row r="301" spans="1:3" x14ac:dyDescent="0.25">
      <c r="A301" s="7"/>
      <c r="B301" s="7"/>
      <c r="C301" s="5"/>
    </row>
    <row r="302" spans="1:3" x14ac:dyDescent="0.25">
      <c r="A302" s="7"/>
      <c r="B302" s="7"/>
      <c r="C302" s="5"/>
    </row>
    <row r="303" spans="1:3" x14ac:dyDescent="0.25">
      <c r="A303" s="7"/>
      <c r="B303" s="7"/>
      <c r="C303" s="5"/>
    </row>
    <row r="304" spans="1:3" x14ac:dyDescent="0.25">
      <c r="A304" s="7"/>
      <c r="B304" s="7"/>
      <c r="C304" s="5"/>
    </row>
    <row r="305" spans="1:3" x14ac:dyDescent="0.25">
      <c r="A305" s="7"/>
      <c r="B305" s="7"/>
      <c r="C305" s="5"/>
    </row>
    <row r="306" spans="1:3" x14ac:dyDescent="0.25">
      <c r="A306" s="7"/>
      <c r="B306" s="7"/>
      <c r="C306" s="5"/>
    </row>
    <row r="307" spans="1:3" x14ac:dyDescent="0.25">
      <c r="A307" s="7"/>
      <c r="B307" s="7"/>
      <c r="C307" s="5"/>
    </row>
    <row r="308" spans="1:3" x14ac:dyDescent="0.25">
      <c r="A308" s="7"/>
      <c r="B308" s="7"/>
      <c r="C308" s="5"/>
    </row>
    <row r="309" spans="1:3" x14ac:dyDescent="0.25">
      <c r="A309" s="7"/>
      <c r="B309" s="7"/>
      <c r="C309" s="5"/>
    </row>
    <row r="310" spans="1:3" x14ac:dyDescent="0.25">
      <c r="A310" s="7"/>
      <c r="B310" s="7"/>
      <c r="C310" s="5"/>
    </row>
    <row r="311" spans="1:3" x14ac:dyDescent="0.25">
      <c r="A311" s="7"/>
      <c r="B311" s="7"/>
      <c r="C311" s="5"/>
    </row>
    <row r="312" spans="1:3" x14ac:dyDescent="0.25">
      <c r="A312" s="7"/>
      <c r="B312" s="7"/>
      <c r="C312" s="5"/>
    </row>
    <row r="313" spans="1:3" x14ac:dyDescent="0.25">
      <c r="A313" s="7"/>
      <c r="B313" s="7"/>
      <c r="C313" s="5"/>
    </row>
    <row r="314" spans="1:3" x14ac:dyDescent="0.25">
      <c r="A314" s="7"/>
      <c r="B314" s="7"/>
      <c r="C314" s="5"/>
    </row>
    <row r="315" spans="1:3" x14ac:dyDescent="0.25">
      <c r="A315" s="7"/>
      <c r="B315" s="7"/>
      <c r="C315" s="5"/>
    </row>
    <row r="316" spans="1:3" x14ac:dyDescent="0.25">
      <c r="A316" s="7"/>
      <c r="B316" s="7"/>
      <c r="C316" s="5"/>
    </row>
    <row r="317" spans="1:3" x14ac:dyDescent="0.25">
      <c r="A317" s="7"/>
      <c r="B317" s="7"/>
      <c r="C317" s="5"/>
    </row>
    <row r="318" spans="1:3" x14ac:dyDescent="0.25">
      <c r="A318" s="7"/>
      <c r="B318" s="7"/>
      <c r="C318" s="5"/>
    </row>
    <row r="319" spans="1:3" x14ac:dyDescent="0.25">
      <c r="A319" s="7"/>
      <c r="B319" s="7"/>
      <c r="C319" s="5"/>
    </row>
    <row r="320" spans="1:3" x14ac:dyDescent="0.25">
      <c r="A320" s="7"/>
      <c r="B320" s="7"/>
      <c r="C320" s="5"/>
    </row>
    <row r="321" spans="1:3" x14ac:dyDescent="0.25">
      <c r="A321" s="7"/>
      <c r="B321" s="7"/>
      <c r="C321" s="5"/>
    </row>
    <row r="322" spans="1:3" x14ac:dyDescent="0.25">
      <c r="A322" s="7"/>
      <c r="B322" s="7"/>
      <c r="C322" s="5"/>
    </row>
    <row r="323" spans="1:3" x14ac:dyDescent="0.25">
      <c r="A323" s="7"/>
      <c r="B323" s="7"/>
      <c r="C323" s="5"/>
    </row>
    <row r="324" spans="1:3" x14ac:dyDescent="0.25">
      <c r="A324" s="7"/>
      <c r="B324" s="7"/>
      <c r="C324" s="5"/>
    </row>
    <row r="325" spans="1:3" x14ac:dyDescent="0.25">
      <c r="A325" s="7"/>
      <c r="B325" s="7"/>
      <c r="C325" s="5"/>
    </row>
    <row r="326" spans="1:3" x14ac:dyDescent="0.25">
      <c r="A326" s="7"/>
      <c r="B326" s="7"/>
      <c r="C326" s="5"/>
    </row>
    <row r="327" spans="1:3" x14ac:dyDescent="0.25">
      <c r="A327" s="7"/>
      <c r="B327" s="7"/>
      <c r="C327" s="5"/>
    </row>
    <row r="328" spans="1:3" x14ac:dyDescent="0.25">
      <c r="A328" s="7"/>
      <c r="B328" s="7"/>
      <c r="C328" s="5"/>
    </row>
    <row r="329" spans="1:3" x14ac:dyDescent="0.25">
      <c r="A329" s="7"/>
      <c r="B329" s="7"/>
      <c r="C329" s="5"/>
    </row>
    <row r="330" spans="1:3" x14ac:dyDescent="0.25">
      <c r="A330" s="7"/>
      <c r="B330" s="7"/>
      <c r="C330" s="5"/>
    </row>
    <row r="331" spans="1:3" x14ac:dyDescent="0.25">
      <c r="A331" s="7"/>
      <c r="B331" s="7"/>
      <c r="C331" s="5"/>
    </row>
    <row r="332" spans="1:3" x14ac:dyDescent="0.25">
      <c r="A332" s="7"/>
      <c r="B332" s="7"/>
      <c r="C332" s="5"/>
    </row>
    <row r="333" spans="1:3" x14ac:dyDescent="0.25">
      <c r="A333" s="7"/>
      <c r="B333" s="7"/>
      <c r="C333" s="5"/>
    </row>
    <row r="334" spans="1:3" x14ac:dyDescent="0.25">
      <c r="A334" s="7"/>
      <c r="B334" s="7"/>
      <c r="C334" s="5"/>
    </row>
    <row r="335" spans="1:3" x14ac:dyDescent="0.25">
      <c r="A335" s="7"/>
      <c r="B335" s="7"/>
      <c r="C335" s="5"/>
    </row>
    <row r="336" spans="1:3" x14ac:dyDescent="0.25">
      <c r="A336" s="7"/>
      <c r="B336" s="7"/>
      <c r="C336" s="5"/>
    </row>
    <row r="337" spans="1:3" x14ac:dyDescent="0.25">
      <c r="A337" s="7"/>
      <c r="B337" s="7"/>
      <c r="C337" s="5"/>
    </row>
    <row r="338" spans="1:3" x14ac:dyDescent="0.25">
      <c r="A338" s="7"/>
      <c r="B338" s="7"/>
      <c r="C338" s="5"/>
    </row>
    <row r="339" spans="1:3" x14ac:dyDescent="0.25">
      <c r="A339" s="7"/>
      <c r="B339" s="7"/>
      <c r="C339" s="5"/>
    </row>
    <row r="340" spans="1:3" x14ac:dyDescent="0.25">
      <c r="A340" s="7"/>
      <c r="B340" s="7"/>
      <c r="C340" s="5"/>
    </row>
    <row r="341" spans="1:3" x14ac:dyDescent="0.25">
      <c r="A341" s="7"/>
      <c r="B341" s="7"/>
      <c r="C341" s="5"/>
    </row>
    <row r="342" spans="1:3" x14ac:dyDescent="0.25">
      <c r="A342" s="7"/>
      <c r="B342" s="7"/>
      <c r="C342" s="5"/>
    </row>
    <row r="343" spans="1:3" x14ac:dyDescent="0.25">
      <c r="A343" s="7"/>
      <c r="B343" s="7"/>
      <c r="C343" s="5"/>
    </row>
    <row r="344" spans="1:3" x14ac:dyDescent="0.25">
      <c r="A344" s="7"/>
      <c r="B344" s="7"/>
      <c r="C344" s="5"/>
    </row>
    <row r="345" spans="1:3" x14ac:dyDescent="0.25">
      <c r="A345" s="7"/>
      <c r="B345" s="7"/>
      <c r="C345" s="5"/>
    </row>
    <row r="346" spans="1:3" x14ac:dyDescent="0.25">
      <c r="A346" s="7"/>
      <c r="B346" s="7"/>
      <c r="C346" s="5"/>
    </row>
    <row r="347" spans="1:3" x14ac:dyDescent="0.25">
      <c r="A347" s="7"/>
      <c r="B347" s="7"/>
      <c r="C347" s="5"/>
    </row>
    <row r="348" spans="1:3" x14ac:dyDescent="0.25">
      <c r="A348" s="7"/>
      <c r="B348" s="7"/>
      <c r="C348" s="5"/>
    </row>
    <row r="349" spans="1:3" x14ac:dyDescent="0.25">
      <c r="A349" s="7"/>
      <c r="B349" s="7"/>
      <c r="C349" s="5"/>
    </row>
    <row r="350" spans="1:3" x14ac:dyDescent="0.25">
      <c r="A350" s="7"/>
      <c r="B350" s="7"/>
      <c r="C350" s="5"/>
    </row>
    <row r="351" spans="1:3" x14ac:dyDescent="0.25">
      <c r="A351" s="7"/>
      <c r="B351" s="7"/>
      <c r="C351" s="5"/>
    </row>
    <row r="352" spans="1:3" x14ac:dyDescent="0.25">
      <c r="A352" s="7"/>
      <c r="B352" s="7"/>
      <c r="C352" s="5"/>
    </row>
    <row r="353" spans="1:3" x14ac:dyDescent="0.25">
      <c r="A353" s="7"/>
      <c r="B353" s="7"/>
      <c r="C353" s="5"/>
    </row>
    <row r="354" spans="1:3" x14ac:dyDescent="0.25">
      <c r="A354" s="7"/>
      <c r="B354" s="7"/>
      <c r="C354" s="5"/>
    </row>
    <row r="355" spans="1:3" x14ac:dyDescent="0.25">
      <c r="A355" s="7"/>
      <c r="B355" s="7"/>
      <c r="C355" s="5"/>
    </row>
    <row r="356" spans="1:3" x14ac:dyDescent="0.25">
      <c r="A356" s="7"/>
      <c r="B356" s="7"/>
      <c r="C356" s="5"/>
    </row>
    <row r="357" spans="1:3" x14ac:dyDescent="0.25">
      <c r="A357" s="7"/>
      <c r="B357" s="7"/>
      <c r="C357" s="5"/>
    </row>
    <row r="358" spans="1:3" x14ac:dyDescent="0.25">
      <c r="A358" s="7"/>
      <c r="B358" s="7"/>
      <c r="C358" s="5"/>
    </row>
    <row r="359" spans="1:3" x14ac:dyDescent="0.25">
      <c r="A359" s="7"/>
      <c r="B359" s="7"/>
      <c r="C359" s="5"/>
    </row>
    <row r="360" spans="1:3" x14ac:dyDescent="0.25">
      <c r="A360" s="7"/>
      <c r="B360" s="7"/>
      <c r="C360" s="5"/>
    </row>
    <row r="361" spans="1:3" x14ac:dyDescent="0.25">
      <c r="A361" s="7"/>
      <c r="B361" s="7"/>
      <c r="C361" s="5"/>
    </row>
    <row r="362" spans="1:3" x14ac:dyDescent="0.25">
      <c r="A362" s="7"/>
      <c r="B362" s="7"/>
      <c r="C362" s="5"/>
    </row>
    <row r="363" spans="1:3" x14ac:dyDescent="0.25">
      <c r="A363" s="7"/>
      <c r="B363" s="7"/>
      <c r="C363" s="5"/>
    </row>
    <row r="364" spans="1:3" x14ac:dyDescent="0.25">
      <c r="A364" s="7"/>
      <c r="B364" s="7"/>
      <c r="C364" s="5"/>
    </row>
    <row r="365" spans="1:3" x14ac:dyDescent="0.25">
      <c r="A365" s="7"/>
      <c r="B365" s="7"/>
      <c r="C365" s="5"/>
    </row>
    <row r="366" spans="1:3" x14ac:dyDescent="0.25">
      <c r="A366" s="7"/>
      <c r="B366" s="7"/>
      <c r="C366" s="5"/>
    </row>
    <row r="367" spans="1:3" x14ac:dyDescent="0.25">
      <c r="A367" s="7"/>
      <c r="B367" s="7"/>
      <c r="C367" s="5"/>
    </row>
    <row r="368" spans="1:3" x14ac:dyDescent="0.25">
      <c r="A368" s="7"/>
      <c r="B368" s="7"/>
      <c r="C368" s="5"/>
    </row>
    <row r="369" spans="1:3" x14ac:dyDescent="0.25">
      <c r="A369" s="7"/>
      <c r="B369" s="7"/>
      <c r="C369" s="5"/>
    </row>
    <row r="370" spans="1:3" x14ac:dyDescent="0.25">
      <c r="A370" s="7"/>
      <c r="B370" s="7"/>
      <c r="C370" s="5"/>
    </row>
    <row r="371" spans="1:3" x14ac:dyDescent="0.25">
      <c r="A371" s="7"/>
      <c r="B371" s="7"/>
      <c r="C371" s="5"/>
    </row>
    <row r="372" spans="1:3" x14ac:dyDescent="0.25">
      <c r="A372" s="7"/>
      <c r="B372" s="7"/>
      <c r="C372" s="5"/>
    </row>
    <row r="373" spans="1:3" x14ac:dyDescent="0.25">
      <c r="A373" s="7"/>
      <c r="B373" s="7"/>
      <c r="C373" s="5"/>
    </row>
    <row r="374" spans="1:3" x14ac:dyDescent="0.25">
      <c r="A374" s="7"/>
      <c r="B374" s="7"/>
      <c r="C374" s="5"/>
    </row>
    <row r="375" spans="1:3" x14ac:dyDescent="0.25">
      <c r="A375" s="7"/>
      <c r="B375" s="7"/>
      <c r="C375" s="5"/>
    </row>
    <row r="376" spans="1:3" x14ac:dyDescent="0.25">
      <c r="A376" s="7"/>
      <c r="B376" s="7"/>
      <c r="C376" s="5"/>
    </row>
    <row r="377" spans="1:3" x14ac:dyDescent="0.25">
      <c r="A377" s="7"/>
      <c r="B377" s="7"/>
      <c r="C377" s="5"/>
    </row>
    <row r="378" spans="1:3" x14ac:dyDescent="0.25">
      <c r="A378" s="7"/>
      <c r="B378" s="7"/>
      <c r="C378" s="5"/>
    </row>
    <row r="379" spans="1:3" x14ac:dyDescent="0.25">
      <c r="A379" s="7"/>
      <c r="B379" s="7"/>
      <c r="C379" s="5"/>
    </row>
    <row r="380" spans="1:3" x14ac:dyDescent="0.25">
      <c r="A380" s="7"/>
      <c r="B380" s="7"/>
      <c r="C380" s="5"/>
    </row>
    <row r="381" spans="1:3" x14ac:dyDescent="0.25">
      <c r="A381" s="7"/>
      <c r="B381" s="7"/>
      <c r="C381" s="5"/>
    </row>
    <row r="382" spans="1:3" x14ac:dyDescent="0.25">
      <c r="A382" s="7"/>
      <c r="B382" s="7"/>
      <c r="C382" s="5"/>
    </row>
    <row r="383" spans="1:3" x14ac:dyDescent="0.25">
      <c r="A383" s="7"/>
      <c r="B383" s="7"/>
      <c r="C383" s="5"/>
    </row>
    <row r="384" spans="1:3" x14ac:dyDescent="0.25">
      <c r="A384" s="7"/>
      <c r="B384" s="7"/>
      <c r="C384" s="5"/>
    </row>
    <row r="385" spans="1:3" x14ac:dyDescent="0.25">
      <c r="A385" s="7"/>
      <c r="B385" s="7"/>
      <c r="C385" s="5"/>
    </row>
    <row r="386" spans="1:3" x14ac:dyDescent="0.25">
      <c r="A386" s="7"/>
      <c r="B386" s="7"/>
      <c r="C386" s="5"/>
    </row>
    <row r="387" spans="1:3" x14ac:dyDescent="0.25">
      <c r="A387" s="7"/>
      <c r="B387" s="7"/>
      <c r="C387" s="5"/>
    </row>
    <row r="388" spans="1:3" x14ac:dyDescent="0.25">
      <c r="A388" s="7"/>
      <c r="B388" s="7"/>
      <c r="C388" s="5"/>
    </row>
    <row r="389" spans="1:3" x14ac:dyDescent="0.25">
      <c r="A389" s="7"/>
      <c r="B389" s="7"/>
      <c r="C389" s="5"/>
    </row>
    <row r="390" spans="1:3" x14ac:dyDescent="0.25">
      <c r="A390" s="7"/>
      <c r="B390" s="7"/>
      <c r="C390" s="5"/>
    </row>
    <row r="391" spans="1:3" x14ac:dyDescent="0.25">
      <c r="A391" s="7"/>
      <c r="B391" s="7"/>
      <c r="C391" s="5"/>
    </row>
    <row r="392" spans="1:3" x14ac:dyDescent="0.25">
      <c r="A392" s="7"/>
      <c r="B392" s="7"/>
      <c r="C392" s="5"/>
    </row>
    <row r="393" spans="1:3" x14ac:dyDescent="0.25">
      <c r="A393" s="7"/>
      <c r="B393" s="7"/>
      <c r="C393" s="5"/>
    </row>
    <row r="394" spans="1:3" x14ac:dyDescent="0.25">
      <c r="A394" s="7"/>
      <c r="B394" s="7"/>
      <c r="C394" s="5"/>
    </row>
    <row r="395" spans="1:3" x14ac:dyDescent="0.25">
      <c r="A395" s="7"/>
      <c r="B395" s="7"/>
      <c r="C395" s="5"/>
    </row>
    <row r="396" spans="1:3" x14ac:dyDescent="0.25">
      <c r="A396" s="7"/>
      <c r="B396" s="7"/>
      <c r="C396" s="5"/>
    </row>
    <row r="397" spans="1:3" x14ac:dyDescent="0.25">
      <c r="A397" s="7"/>
      <c r="B397" s="7"/>
      <c r="C397" s="5"/>
    </row>
    <row r="398" spans="1:3" x14ac:dyDescent="0.25">
      <c r="A398" s="7"/>
      <c r="B398" s="7"/>
      <c r="C398" s="5"/>
    </row>
    <row r="399" spans="1:3" x14ac:dyDescent="0.25">
      <c r="A399" s="7"/>
      <c r="B399" s="7"/>
      <c r="C399" s="5"/>
    </row>
    <row r="400" spans="1:3" x14ac:dyDescent="0.25">
      <c r="A400" s="7"/>
      <c r="B400" s="7"/>
      <c r="C400" s="5"/>
    </row>
    <row r="401" spans="1:3" x14ac:dyDescent="0.25">
      <c r="A401" s="7"/>
      <c r="B401" s="7"/>
      <c r="C401" s="5"/>
    </row>
    <row r="402" spans="1:3" x14ac:dyDescent="0.25">
      <c r="A402" s="7"/>
      <c r="B402" s="7"/>
      <c r="C402" s="5"/>
    </row>
    <row r="403" spans="1:3" x14ac:dyDescent="0.25">
      <c r="A403" s="7"/>
      <c r="B403" s="7"/>
      <c r="C403" s="5"/>
    </row>
    <row r="404" spans="1:3" x14ac:dyDescent="0.25">
      <c r="A404" s="7"/>
      <c r="B404" s="7"/>
      <c r="C404" s="5"/>
    </row>
    <row r="405" spans="1:3" x14ac:dyDescent="0.25">
      <c r="A405" s="7"/>
      <c r="B405" s="7"/>
      <c r="C405" s="5"/>
    </row>
    <row r="406" spans="1:3" x14ac:dyDescent="0.25">
      <c r="A406" s="7"/>
      <c r="B406" s="7"/>
      <c r="C406" s="5"/>
    </row>
    <row r="407" spans="1:3" x14ac:dyDescent="0.25">
      <c r="A407" s="7"/>
      <c r="B407" s="7"/>
      <c r="C407" s="5"/>
    </row>
    <row r="408" spans="1:3" x14ac:dyDescent="0.25">
      <c r="A408" s="7"/>
      <c r="B408" s="7"/>
      <c r="C408" s="5"/>
    </row>
    <row r="409" spans="1:3" x14ac:dyDescent="0.25">
      <c r="A409" s="7"/>
      <c r="B409" s="7"/>
      <c r="C409" s="5"/>
    </row>
    <row r="410" spans="1:3" x14ac:dyDescent="0.25">
      <c r="A410" s="7"/>
      <c r="B410" s="7"/>
      <c r="C410" s="5"/>
    </row>
    <row r="411" spans="1:3" x14ac:dyDescent="0.25">
      <c r="A411" s="7"/>
      <c r="B411" s="7"/>
      <c r="C411" s="5"/>
    </row>
    <row r="412" spans="1:3" x14ac:dyDescent="0.25">
      <c r="A412" s="7"/>
      <c r="B412" s="7"/>
      <c r="C412" s="5"/>
    </row>
    <row r="413" spans="1:3" x14ac:dyDescent="0.25">
      <c r="A413" s="7"/>
      <c r="B413" s="7"/>
      <c r="C413" s="5"/>
    </row>
    <row r="414" spans="1:3" x14ac:dyDescent="0.25">
      <c r="A414" s="7"/>
      <c r="B414" s="7"/>
      <c r="C414" s="5"/>
    </row>
    <row r="415" spans="1:3" x14ac:dyDescent="0.25">
      <c r="A415" s="7"/>
      <c r="B415" s="7"/>
      <c r="C415" s="5"/>
    </row>
    <row r="416" spans="1:3" x14ac:dyDescent="0.25">
      <c r="A416" s="7"/>
      <c r="B416" s="7"/>
      <c r="C416" s="5"/>
    </row>
    <row r="417" spans="1:3" x14ac:dyDescent="0.25">
      <c r="A417" s="7"/>
      <c r="B417" s="7"/>
      <c r="C417" s="5"/>
    </row>
    <row r="418" spans="1:3" x14ac:dyDescent="0.25">
      <c r="A418" s="7"/>
      <c r="B418" s="7"/>
      <c r="C418" s="5"/>
    </row>
    <row r="419" spans="1:3" x14ac:dyDescent="0.25">
      <c r="A419" s="7"/>
      <c r="B419" s="7"/>
      <c r="C419" s="5"/>
    </row>
    <row r="420" spans="1:3" x14ac:dyDescent="0.25">
      <c r="A420" s="7"/>
      <c r="B420" s="7"/>
      <c r="C420" s="5"/>
    </row>
    <row r="421" spans="1:3" x14ac:dyDescent="0.25">
      <c r="A421" s="7"/>
      <c r="B421" s="7"/>
      <c r="C421" s="5"/>
    </row>
    <row r="422" spans="1:3" x14ac:dyDescent="0.25">
      <c r="A422" s="7"/>
      <c r="B422" s="7"/>
      <c r="C422" s="5"/>
    </row>
    <row r="423" spans="1:3" x14ac:dyDescent="0.25">
      <c r="A423" s="7"/>
      <c r="B423" s="7"/>
      <c r="C423" s="5"/>
    </row>
    <row r="424" spans="1:3" x14ac:dyDescent="0.25">
      <c r="A424" s="7"/>
      <c r="B424" s="7"/>
      <c r="C424" s="5"/>
    </row>
    <row r="425" spans="1:3" x14ac:dyDescent="0.25">
      <c r="A425" s="7"/>
      <c r="B425" s="7"/>
      <c r="C425" s="5"/>
    </row>
    <row r="426" spans="1:3" x14ac:dyDescent="0.25">
      <c r="A426" s="7"/>
      <c r="B426" s="7"/>
      <c r="C426" s="5"/>
    </row>
    <row r="427" spans="1:3" x14ac:dyDescent="0.25">
      <c r="A427" s="7"/>
      <c r="B427" s="7"/>
      <c r="C427" s="5"/>
    </row>
    <row r="428" spans="1:3" x14ac:dyDescent="0.25">
      <c r="A428" s="7"/>
      <c r="B428" s="7"/>
      <c r="C428" s="5"/>
    </row>
    <row r="429" spans="1:3" x14ac:dyDescent="0.25">
      <c r="A429" s="7"/>
      <c r="B429" s="7"/>
      <c r="C429" s="5"/>
    </row>
    <row r="430" spans="1:3" x14ac:dyDescent="0.25">
      <c r="A430" s="7"/>
      <c r="B430" s="7"/>
      <c r="C430" s="5"/>
    </row>
    <row r="431" spans="1:3" x14ac:dyDescent="0.25">
      <c r="A431" s="7"/>
      <c r="B431" s="7"/>
      <c r="C431" s="5"/>
    </row>
    <row r="432" spans="1:3" x14ac:dyDescent="0.25">
      <c r="A432" s="7"/>
      <c r="B432" s="7"/>
      <c r="C432" s="5"/>
    </row>
    <row r="433" spans="1:3" x14ac:dyDescent="0.25">
      <c r="A433" s="7"/>
      <c r="B433" s="7"/>
      <c r="C433" s="5"/>
    </row>
    <row r="434" spans="1:3" x14ac:dyDescent="0.25">
      <c r="A434" s="7"/>
      <c r="B434" s="7"/>
      <c r="C434" s="5"/>
    </row>
    <row r="435" spans="1:3" x14ac:dyDescent="0.25">
      <c r="A435" s="7"/>
      <c r="B435" s="7"/>
      <c r="C435" s="5"/>
    </row>
    <row r="436" spans="1:3" x14ac:dyDescent="0.25">
      <c r="A436" s="7"/>
      <c r="B436" s="7"/>
      <c r="C436" s="5"/>
    </row>
    <row r="437" spans="1:3" x14ac:dyDescent="0.25">
      <c r="A437" s="7"/>
      <c r="B437" s="7"/>
      <c r="C437" s="5"/>
    </row>
    <row r="438" spans="1:3" x14ac:dyDescent="0.25">
      <c r="A438" s="7"/>
      <c r="B438" s="7"/>
      <c r="C438" s="5"/>
    </row>
    <row r="439" spans="1:3" x14ac:dyDescent="0.25">
      <c r="A439" s="7"/>
      <c r="B439" s="7"/>
      <c r="C439" s="5"/>
    </row>
    <row r="440" spans="1:3" x14ac:dyDescent="0.25">
      <c r="A440" s="7"/>
      <c r="B440" s="7"/>
      <c r="C440" s="5"/>
    </row>
    <row r="441" spans="1:3" x14ac:dyDescent="0.25">
      <c r="A441" s="7"/>
      <c r="B441" s="7"/>
      <c r="C441" s="5"/>
    </row>
    <row r="442" spans="1:3" x14ac:dyDescent="0.25">
      <c r="A442" s="7"/>
      <c r="B442" s="7"/>
      <c r="C442" s="5"/>
    </row>
    <row r="443" spans="1:3" x14ac:dyDescent="0.25">
      <c r="A443" s="7"/>
      <c r="B443" s="7"/>
      <c r="C443" s="5"/>
    </row>
    <row r="444" spans="1:3" x14ac:dyDescent="0.25">
      <c r="A444" s="7"/>
      <c r="B444" s="7"/>
      <c r="C444" s="5"/>
    </row>
    <row r="445" spans="1:3" x14ac:dyDescent="0.25">
      <c r="A445" s="7"/>
      <c r="B445" s="7"/>
      <c r="C445" s="5"/>
    </row>
    <row r="446" spans="1:3" x14ac:dyDescent="0.25">
      <c r="A446" s="7"/>
      <c r="B446" s="7"/>
      <c r="C446" s="5"/>
    </row>
    <row r="447" spans="1:3" x14ac:dyDescent="0.25">
      <c r="A447" s="7"/>
      <c r="B447" s="7"/>
      <c r="C447" s="5"/>
    </row>
    <row r="448" spans="1:3" x14ac:dyDescent="0.25">
      <c r="A448" s="7"/>
      <c r="B448" s="7"/>
      <c r="C448" s="5"/>
    </row>
    <row r="449" spans="1:3" x14ac:dyDescent="0.25">
      <c r="A449" s="7"/>
      <c r="B449" s="7"/>
      <c r="C449" s="5"/>
    </row>
    <row r="450" spans="1:3" x14ac:dyDescent="0.25">
      <c r="A450" s="7"/>
      <c r="B450" s="7"/>
      <c r="C450" s="5"/>
    </row>
    <row r="451" spans="1:3" x14ac:dyDescent="0.25">
      <c r="A451" s="7"/>
      <c r="B451" s="7"/>
      <c r="C451" s="5"/>
    </row>
    <row r="452" spans="1:3" x14ac:dyDescent="0.25">
      <c r="A452" s="7"/>
      <c r="B452" s="7"/>
      <c r="C452" s="5"/>
    </row>
    <row r="453" spans="1:3" x14ac:dyDescent="0.25">
      <c r="A453" s="7"/>
      <c r="B453" s="7"/>
      <c r="C453" s="5"/>
    </row>
    <row r="454" spans="1:3" x14ac:dyDescent="0.25">
      <c r="A454" s="7"/>
      <c r="B454" s="7"/>
      <c r="C454" s="5"/>
    </row>
    <row r="455" spans="1:3" x14ac:dyDescent="0.25">
      <c r="A455" s="7"/>
      <c r="B455" s="7"/>
      <c r="C455" s="5"/>
    </row>
    <row r="456" spans="1:3" x14ac:dyDescent="0.25">
      <c r="A456" s="7"/>
      <c r="B456" s="7"/>
      <c r="C456" s="5"/>
    </row>
    <row r="457" spans="1:3" x14ac:dyDescent="0.25">
      <c r="A457" s="7"/>
      <c r="B457" s="7"/>
      <c r="C457" s="5"/>
    </row>
    <row r="458" spans="1:3" x14ac:dyDescent="0.25">
      <c r="A458" s="7"/>
      <c r="B458" s="7"/>
      <c r="C458" s="5"/>
    </row>
    <row r="459" spans="1:3" x14ac:dyDescent="0.25">
      <c r="A459" s="7"/>
      <c r="B459" s="7"/>
      <c r="C459" s="5"/>
    </row>
    <row r="460" spans="1:3" x14ac:dyDescent="0.25">
      <c r="A460" s="7"/>
      <c r="B460" s="7"/>
      <c r="C460" s="5"/>
    </row>
    <row r="461" spans="1:3" x14ac:dyDescent="0.25">
      <c r="A461" s="7"/>
      <c r="B461" s="7"/>
      <c r="C461" s="5"/>
    </row>
    <row r="462" spans="1:3" x14ac:dyDescent="0.25">
      <c r="A462" s="7"/>
      <c r="B462" s="7"/>
      <c r="C462" s="5"/>
    </row>
    <row r="463" spans="1:3" x14ac:dyDescent="0.25">
      <c r="A463" s="7"/>
      <c r="B463" s="7"/>
      <c r="C463" s="5"/>
    </row>
    <row r="464" spans="1:3" x14ac:dyDescent="0.25">
      <c r="A464" s="7"/>
      <c r="B464" s="7"/>
      <c r="C464" s="5"/>
    </row>
    <row r="465" spans="1:3" x14ac:dyDescent="0.25">
      <c r="A465" s="7"/>
      <c r="B465" s="7"/>
      <c r="C465" s="5"/>
    </row>
    <row r="466" spans="1:3" x14ac:dyDescent="0.25">
      <c r="A466" s="7"/>
      <c r="B466" s="7"/>
      <c r="C466" s="5"/>
    </row>
    <row r="467" spans="1:3" x14ac:dyDescent="0.25">
      <c r="A467" s="7"/>
      <c r="B467" s="7"/>
      <c r="C467" s="5"/>
    </row>
    <row r="468" spans="1:3" x14ac:dyDescent="0.25">
      <c r="A468" s="7"/>
      <c r="B468" s="7"/>
      <c r="C468" s="5"/>
    </row>
    <row r="469" spans="1:3" x14ac:dyDescent="0.25">
      <c r="A469" s="7"/>
      <c r="B469" s="7"/>
      <c r="C469" s="5"/>
    </row>
    <row r="470" spans="1:3" x14ac:dyDescent="0.25">
      <c r="A470" s="7"/>
      <c r="B470" s="7"/>
      <c r="C470" s="5"/>
    </row>
    <row r="471" spans="1:3" x14ac:dyDescent="0.25">
      <c r="A471" s="7"/>
      <c r="B471" s="7"/>
      <c r="C471" s="5"/>
    </row>
    <row r="472" spans="1:3" x14ac:dyDescent="0.25">
      <c r="A472" s="7"/>
      <c r="B472" s="7"/>
      <c r="C472" s="5"/>
    </row>
    <row r="473" spans="1:3" x14ac:dyDescent="0.25">
      <c r="A473" s="7"/>
      <c r="B473" s="7"/>
      <c r="C473" s="5"/>
    </row>
    <row r="474" spans="1:3" x14ac:dyDescent="0.25">
      <c r="A474" s="7"/>
      <c r="B474" s="7"/>
      <c r="C474" s="5"/>
    </row>
    <row r="475" spans="1:3" x14ac:dyDescent="0.25">
      <c r="A475" s="7"/>
      <c r="B475" s="7"/>
      <c r="C475" s="5"/>
    </row>
    <row r="476" spans="1:3" x14ac:dyDescent="0.25">
      <c r="A476" s="7"/>
      <c r="B476" s="7"/>
      <c r="C476" s="5"/>
    </row>
    <row r="477" spans="1:3" x14ac:dyDescent="0.25">
      <c r="A477" s="7"/>
      <c r="B477" s="7"/>
      <c r="C477" s="5"/>
    </row>
    <row r="478" spans="1:3" x14ac:dyDescent="0.25">
      <c r="A478" s="7"/>
      <c r="B478" s="7"/>
      <c r="C478" s="5"/>
    </row>
    <row r="479" spans="1:3" x14ac:dyDescent="0.25">
      <c r="A479" s="7"/>
      <c r="B479" s="7"/>
      <c r="C479" s="5"/>
    </row>
    <row r="480" spans="1:3" x14ac:dyDescent="0.25">
      <c r="A480" s="7"/>
      <c r="B480" s="7"/>
      <c r="C480" s="5"/>
    </row>
    <row r="481" spans="1:3" x14ac:dyDescent="0.25">
      <c r="A481" s="7"/>
      <c r="B481" s="7"/>
      <c r="C481" s="5"/>
    </row>
    <row r="482" spans="1:3" x14ac:dyDescent="0.25">
      <c r="A482" s="7"/>
      <c r="B482" s="7"/>
      <c r="C482" s="5"/>
    </row>
    <row r="483" spans="1:3" x14ac:dyDescent="0.25">
      <c r="A483" s="7"/>
      <c r="B483" s="7"/>
      <c r="C483" s="5"/>
    </row>
    <row r="484" spans="1:3" x14ac:dyDescent="0.25">
      <c r="A484" s="7"/>
      <c r="B484" s="7"/>
      <c r="C484" s="5"/>
    </row>
    <row r="485" spans="1:3" x14ac:dyDescent="0.25">
      <c r="A485" s="7"/>
      <c r="B485" s="7"/>
      <c r="C485" s="5"/>
    </row>
    <row r="486" spans="1:3" x14ac:dyDescent="0.25">
      <c r="A486" s="7"/>
      <c r="B486" s="7"/>
      <c r="C486" s="5"/>
    </row>
    <row r="487" spans="1:3" x14ac:dyDescent="0.25">
      <c r="A487" s="7"/>
      <c r="B487" s="7"/>
      <c r="C487" s="5"/>
    </row>
    <row r="488" spans="1:3" x14ac:dyDescent="0.25">
      <c r="A488" s="7"/>
      <c r="B488" s="7"/>
      <c r="C488" s="5"/>
    </row>
    <row r="489" spans="1:3" x14ac:dyDescent="0.25">
      <c r="A489" s="7"/>
      <c r="B489" s="7"/>
      <c r="C489" s="5"/>
    </row>
    <row r="490" spans="1:3" x14ac:dyDescent="0.25">
      <c r="A490" s="7"/>
      <c r="B490" s="7"/>
      <c r="C490" s="5"/>
    </row>
    <row r="491" spans="1:3" x14ac:dyDescent="0.25">
      <c r="A491" s="7"/>
      <c r="B491" s="7"/>
      <c r="C491" s="5"/>
    </row>
    <row r="492" spans="1:3" x14ac:dyDescent="0.25">
      <c r="A492" s="7"/>
      <c r="B492" s="7"/>
      <c r="C492" s="5"/>
    </row>
    <row r="493" spans="1:3" x14ac:dyDescent="0.25">
      <c r="A493" s="7"/>
      <c r="B493" s="7"/>
      <c r="C493" s="5"/>
    </row>
    <row r="494" spans="1:3" x14ac:dyDescent="0.25">
      <c r="A494" s="7"/>
      <c r="B494" s="7"/>
      <c r="C494" s="5"/>
    </row>
    <row r="495" spans="1:3" x14ac:dyDescent="0.25">
      <c r="A495" s="7"/>
      <c r="B495" s="7"/>
      <c r="C495" s="5"/>
    </row>
    <row r="496" spans="1:3" x14ac:dyDescent="0.25">
      <c r="A496" s="7"/>
      <c r="B496" s="7"/>
      <c r="C496" s="5"/>
    </row>
    <row r="497" spans="1:3" x14ac:dyDescent="0.25">
      <c r="A497" s="7"/>
      <c r="B497" s="7"/>
      <c r="C497" s="5"/>
    </row>
    <row r="498" spans="1:3" x14ac:dyDescent="0.25">
      <c r="A498" s="7"/>
      <c r="B498" s="7"/>
      <c r="C498" s="5"/>
    </row>
    <row r="499" spans="1:3" x14ac:dyDescent="0.25">
      <c r="A499" s="7"/>
      <c r="B499" s="7"/>
      <c r="C499" s="5"/>
    </row>
    <row r="500" spans="1:3" x14ac:dyDescent="0.25">
      <c r="A500" s="7"/>
      <c r="B500" s="7"/>
      <c r="C500" s="5"/>
    </row>
  </sheetData>
  <dataValidations count="2">
    <dataValidation type="list" allowBlank="1" showErrorMessage="1" errorTitle="Tipo inválido" error="Use: insumo, preparo ou ficha" sqref="A10:A500">
      <formula1>"insumo,preparo,ficha"</formula1>
    </dataValidation>
    <dataValidation type="list" allowBlank="1" showErrorMessage="1" errorTitle="Tipo inválido" error="Use: insumo, preparo ou ficha" sqref="A2:A500">
      <formula1>"insumo,preparo,ficha"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5" width="16" customWidth="1"/>
    <col min="6" max="7" width="18" customWidth="1"/>
    <col min="8" max="8" width="14" customWidth="1"/>
    <col min="9" max="9" width="18" customWidth="1"/>
    <col min="10" max="10" width="16" customWidth="1"/>
    <col min="11" max="11" width="30" customWidth="1"/>
  </cols>
  <sheetData>
    <row r="1" ht="32" customHeight="1" spans="1:11" x14ac:dyDescent="0.25">
      <c r="A1" s="6" t="s">
        <v>111</v>
      </c>
      <c r="B1" s="6" t="s">
        <v>74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6" t="s">
        <v>120</v>
      </c>
    </row>
    <row r="2" spans="1:11" x14ac:dyDescent="0.25">
      <c r="A2" s="7" t="s">
        <v>121</v>
      </c>
      <c r="B2" s="7" t="s">
        <v>79</v>
      </c>
      <c r="C2" s="7" t="s">
        <v>122</v>
      </c>
      <c r="D2" s="7">
        <v>1000</v>
      </c>
      <c r="E2" s="7" t="s">
        <v>123</v>
      </c>
      <c r="F2" s="7">
        <v>38</v>
      </c>
      <c r="G2" s="7">
        <v>95</v>
      </c>
      <c r="H2" s="5"/>
      <c r="I2" s="8" t="str">
        <f>IF(E2="","",IF(OR(E2="kg",E2="g"),"g",IF(OR(E2="l",E2="ml"),"ml",IF(E2="un","un",""))))</f>
        <v>g</v>
      </c>
      <c r="J2" s="9">
        <f>IFERROR(F2/IF(OR(E2="kg",E2="l"),D2*1000,D2),"")</f>
        <v>0.038</v>
      </c>
      <c r="K2" s="5" t="s">
        <v>124</v>
      </c>
    </row>
    <row r="3" spans="1:11" x14ac:dyDescent="0.25">
      <c r="A3" s="7" t="s">
        <v>125</v>
      </c>
      <c r="B3" s="7" t="s">
        <v>85</v>
      </c>
      <c r="C3" s="7" t="s">
        <v>122</v>
      </c>
      <c r="D3" s="7">
        <v>800</v>
      </c>
      <c r="E3" s="7" t="s">
        <v>123</v>
      </c>
      <c r="F3" s="7">
        <v>14.8</v>
      </c>
      <c r="G3" s="7">
        <v>60</v>
      </c>
      <c r="H3" s="5"/>
      <c r="I3" s="8" t="str">
        <f>IF(E3="","",IF(OR(E3="kg",E3="g"),"g",IF(OR(E3="l",E3="ml"),"ml",IF(E3="un","un",""))))</f>
        <v>g</v>
      </c>
      <c r="J3" s="9">
        <f>IFERROR(F3/IF(OR(E3="kg",E3="l"),D3*1000,D3),"")</f>
        <v>0.018500000000000003</v>
      </c>
      <c r="K3" s="5" t="s">
        <v>126</v>
      </c>
    </row>
    <row r="4" spans="1:11" x14ac:dyDescent="0.25">
      <c r="A4" s="7" t="s">
        <v>127</v>
      </c>
      <c r="B4" s="7" t="s">
        <v>77</v>
      </c>
      <c r="C4" s="7" t="s">
        <v>122</v>
      </c>
      <c r="D4" s="7">
        <v>1000</v>
      </c>
      <c r="E4" s="7" t="s">
        <v>123</v>
      </c>
      <c r="F4" s="7">
        <v>4</v>
      </c>
      <c r="G4" s="7">
        <v>90</v>
      </c>
      <c r="H4" s="5"/>
      <c r="I4" s="8" t="str">
        <f>IF(E4="","",IF(OR(E4="kg",E4="g"),"g",IF(OR(E4="l",E4="ml"),"ml",IF(E4="un","un",""))))</f>
        <v>g</v>
      </c>
      <c r="J4" s="9">
        <f>IFERROR(F4/IF(OR(E4="kg",E4="l"),D4*1000,D4),"")</f>
        <v>0.004</v>
      </c>
      <c r="K4" s="5" t="s">
        <v>128</v>
      </c>
    </row>
    <row r="5" spans="1:11" x14ac:dyDescent="0.25">
      <c r="A5" s="7" t="s">
        <v>129</v>
      </c>
      <c r="B5" s="7" t="s">
        <v>77</v>
      </c>
      <c r="C5" s="7" t="s">
        <v>122</v>
      </c>
      <c r="D5" s="7">
        <v>1000</v>
      </c>
      <c r="E5" s="7" t="s">
        <v>123</v>
      </c>
      <c r="F5" s="7">
        <v>35</v>
      </c>
      <c r="G5" s="7">
        <v>80</v>
      </c>
      <c r="H5" s="5"/>
      <c r="I5" s="8" t="str">
        <f>IF(E5="","",IF(OR(E5="kg",E5="g"),"g",IF(OR(E5="l",E5="ml"),"ml",IF(E5="un","un",""))))</f>
        <v>g</v>
      </c>
      <c r="J5" s="9">
        <f>IFERROR(F5/IF(OR(E5="kg",E5="l"),D5*1000,D5),"")</f>
        <v>0.035</v>
      </c>
      <c r="K5" s="5" t="s">
        <v>130</v>
      </c>
    </row>
    <row r="6" spans="1:11" x14ac:dyDescent="0.25">
      <c r="A6" s="7" t="s">
        <v>131</v>
      </c>
      <c r="B6" s="7" t="s">
        <v>83</v>
      </c>
      <c r="C6" s="7" t="s">
        <v>122</v>
      </c>
      <c r="D6" s="7">
        <v>750</v>
      </c>
      <c r="E6" s="7" t="s">
        <v>132</v>
      </c>
      <c r="F6" s="7">
        <v>30</v>
      </c>
      <c r="G6" s="7">
        <v>100</v>
      </c>
      <c r="H6" s="5">
        <v>0.92</v>
      </c>
      <c r="I6" s="8" t="str">
        <f>IF(E6="","",IF(OR(E6="kg",E6="g"),"g",IF(OR(E6="l",E6="ml"),"ml",IF(E6="un","un",""))))</f>
        <v>ml</v>
      </c>
      <c r="J6" s="9">
        <f>IFERROR(F6/IF(OR(E6="kg",E6="l"),D6*1000,D6),"")</f>
        <v>0.04</v>
      </c>
      <c r="K6" s="5" t="s">
        <v>133</v>
      </c>
    </row>
    <row r="7" spans="1:11" x14ac:dyDescent="0.25">
      <c r="A7" s="7" t="s">
        <v>134</v>
      </c>
      <c r="B7" s="7" t="s">
        <v>81</v>
      </c>
      <c r="C7" s="7" t="s">
        <v>122</v>
      </c>
      <c r="D7" s="7">
        <v>1000</v>
      </c>
      <c r="E7" s="7" t="s">
        <v>123</v>
      </c>
      <c r="F7" s="7">
        <v>45</v>
      </c>
      <c r="G7" s="7">
        <v>100</v>
      </c>
      <c r="H7" s="5"/>
      <c r="I7" s="8" t="str">
        <f>IF(E7="","",IF(OR(E7="kg",E7="g"),"g",IF(OR(E7="l",E7="ml"),"ml",IF(E7="un","un",""))))</f>
        <v>g</v>
      </c>
      <c r="J7" s="9">
        <f>IFERROR(F7/IF(OR(E7="kg",E7="l"),D7*1000,D7),"")</f>
        <v>0.045</v>
      </c>
      <c r="K7" s="5" t="s">
        <v>130</v>
      </c>
    </row>
    <row r="8" spans="1:11" x14ac:dyDescent="0.25">
      <c r="A8" s="7" t="s">
        <v>135</v>
      </c>
      <c r="B8" s="7" t="s">
        <v>81</v>
      </c>
      <c r="C8" s="7" t="s">
        <v>136</v>
      </c>
      <c r="D8" s="7">
        <v>1000</v>
      </c>
      <c r="E8" s="7" t="s">
        <v>123</v>
      </c>
      <c r="F8" s="7">
        <v>120</v>
      </c>
      <c r="G8" s="7">
        <v>100</v>
      </c>
      <c r="H8" s="5"/>
      <c r="I8" s="8" t="str">
        <f>IF(E8="","",IF(OR(E8="kg",E8="g"),"g",IF(OR(E8="l",E8="ml"),"ml",IF(E8="un","un",""))))</f>
        <v>g</v>
      </c>
      <c r="J8" s="9">
        <f>IFERROR(F8/IF(OR(E8="kg",E8="l"),D8*1000,D8),"")</f>
        <v>0.12</v>
      </c>
      <c r="K8" s="5" t="s">
        <v>137</v>
      </c>
    </row>
    <row r="9" spans="1:11" x14ac:dyDescent="0.25">
      <c r="A9" s="7" t="s">
        <v>138</v>
      </c>
      <c r="B9" s="7" t="s">
        <v>83</v>
      </c>
      <c r="C9" s="7" t="s">
        <v>122</v>
      </c>
      <c r="D9" s="7">
        <v>1000</v>
      </c>
      <c r="E9" s="7" t="s">
        <v>123</v>
      </c>
      <c r="F9" s="7">
        <v>8</v>
      </c>
      <c r="G9" s="7">
        <v>100</v>
      </c>
      <c r="H9" s="5"/>
      <c r="I9" s="8" t="str">
        <f>IF(E9="","",IF(OR(E9="kg",E9="g"),"g",IF(OR(E9="l",E9="ml"),"ml",IF(E9="un","un",""))))</f>
        <v>g</v>
      </c>
      <c r="J9" s="9">
        <f>IFERROR(F9/IF(OR(E9="kg",E9="l"),D9*1000,D9),"")</f>
        <v>0.008</v>
      </c>
      <c r="K9" s="5" t="s">
        <v>139</v>
      </c>
    </row>
    <row r="10" spans="1:11" x14ac:dyDescent="0.25">
      <c r="A10" s="7" t="s">
        <v>140</v>
      </c>
      <c r="B10" s="7" t="s">
        <v>83</v>
      </c>
      <c r="C10" s="7" t="s">
        <v>122</v>
      </c>
      <c r="D10" s="7">
        <v>1</v>
      </c>
      <c r="E10" s="7" t="s">
        <v>141</v>
      </c>
      <c r="F10" s="7">
        <v>0.8</v>
      </c>
      <c r="G10" s="7">
        <v>100</v>
      </c>
      <c r="H10" s="5"/>
      <c r="I10" s="8" t="str">
        <f>IF(E10="","",IF(OR(E10="kg",E10="g"),"g",IF(OR(E10="l",E10="ml"),"ml",IF(E10="un","un",""))))</f>
        <v>un</v>
      </c>
      <c r="J10" s="9">
        <f>IFERROR(F10/IF(OR(E10="kg",E10="l"),D10*1000,D10),"")</f>
        <v>0.8</v>
      </c>
      <c r="K10" s="5" t="s">
        <v>142</v>
      </c>
    </row>
    <row r="11" spans="1:11" x14ac:dyDescent="0.25">
      <c r="A11" s="7" t="s">
        <v>143</v>
      </c>
      <c r="B11" s="7" t="s">
        <v>81</v>
      </c>
      <c r="C11" s="7" t="s">
        <v>122</v>
      </c>
      <c r="D11" s="7">
        <v>200</v>
      </c>
      <c r="E11" s="7" t="s">
        <v>123</v>
      </c>
      <c r="F11" s="7">
        <v>11</v>
      </c>
      <c r="G11" s="7">
        <v>100</v>
      </c>
      <c r="H11" s="5"/>
      <c r="I11" s="8" t="str">
        <f>IF(E11="","",IF(OR(E11="kg",E11="g"),"g",IF(OR(E11="l",E11="ml"),"ml",IF(E11="un","un",""))))</f>
        <v>g</v>
      </c>
      <c r="J11" s="9">
        <f>IFERROR(F11/IF(OR(E11="kg",E11="l"),D11*1000,D11),"")</f>
        <v>0.055</v>
      </c>
      <c r="K11" s="5" t="s">
        <v>144</v>
      </c>
    </row>
    <row r="12" spans="1:11" x14ac:dyDescent="0.25">
      <c r="A12" s="7" t="s">
        <v>145</v>
      </c>
      <c r="B12" s="7" t="s">
        <v>81</v>
      </c>
      <c r="C12" s="7" t="s">
        <v>122</v>
      </c>
      <c r="D12" s="7">
        <v>1000</v>
      </c>
      <c r="E12" s="7" t="s">
        <v>132</v>
      </c>
      <c r="F12" s="7">
        <v>6.5</v>
      </c>
      <c r="G12" s="7">
        <v>100</v>
      </c>
      <c r="H12" s="5">
        <v>1.03</v>
      </c>
      <c r="I12" s="8" t="str">
        <f>IF(E12="","",IF(OR(E12="kg",E12="g"),"g",IF(OR(E12="l",E12="ml"),"ml",IF(E12="un","un",""))))</f>
        <v>ml</v>
      </c>
      <c r="J12" s="9">
        <f>IFERROR(F12/IF(OR(E12="kg",E12="l"),D12*1000,D12),"")</f>
        <v>0.0065</v>
      </c>
      <c r="K12" s="5" t="s">
        <v>146</v>
      </c>
    </row>
    <row r="13" spans="1:11" x14ac:dyDescent="0.25">
      <c r="A13" s="7" t="s">
        <v>147</v>
      </c>
      <c r="B13" s="7" t="s">
        <v>87</v>
      </c>
      <c r="C13" s="7" t="s">
        <v>136</v>
      </c>
      <c r="D13" s="7">
        <v>1</v>
      </c>
      <c r="E13" s="7" t="s">
        <v>141</v>
      </c>
      <c r="F13" s="7">
        <v>1.8</v>
      </c>
      <c r="G13" s="7">
        <v>100</v>
      </c>
      <c r="H13" s="5"/>
      <c r="I13" s="8" t="str">
        <f>IF(E13="","",IF(OR(E13="kg",E13="g"),"g",IF(OR(E13="l",E13="ml"),"ml",IF(E13="un","un",""))))</f>
        <v>un</v>
      </c>
      <c r="J13" s="9">
        <f>IFERROR(F13/IF(OR(E13="kg",E13="l"),D13*1000,D13),"")</f>
        <v>1.8</v>
      </c>
      <c r="K13" s="5" t="s">
        <v>130</v>
      </c>
    </row>
    <row r="14" spans="1:11" x14ac:dyDescent="0.25">
      <c r="A14" s="7" t="s">
        <v>148</v>
      </c>
      <c r="B14" s="7" t="s">
        <v>79</v>
      </c>
      <c r="C14" s="7" t="s">
        <v>122</v>
      </c>
      <c r="D14" s="7">
        <v>1000</v>
      </c>
      <c r="E14" s="7" t="s">
        <v>123</v>
      </c>
      <c r="F14" s="7">
        <v>43</v>
      </c>
      <c r="G14" s="7">
        <v>30</v>
      </c>
      <c r="H14" s="5"/>
      <c r="I14" s="8" t="str">
        <f>IF(E14="","",IF(OR(E14="kg",E14="g"),"g",IF(OR(E14="l",E14="ml"),"ml",IF(E14="un","un",""))))</f>
        <v>g</v>
      </c>
      <c r="J14" s="9">
        <f>IFERROR(F14/IF(OR(E14="kg",E14="l"),D14*1000,D14),"")</f>
        <v>0.043</v>
      </c>
      <c r="K14" s="5" t="s">
        <v>149</v>
      </c>
    </row>
    <row r="15" spans="1:11" x14ac:dyDescent="0.25">
      <c r="A15" s="7" t="s">
        <v>150</v>
      </c>
      <c r="B15" s="7" t="s">
        <v>79</v>
      </c>
      <c r="C15" s="7" t="s">
        <v>122</v>
      </c>
      <c r="D15" s="7">
        <v>1000</v>
      </c>
      <c r="E15" s="7" t="s">
        <v>123</v>
      </c>
      <c r="F15" s="7">
        <v>95</v>
      </c>
      <c r="G15" s="7">
        <v>60</v>
      </c>
      <c r="H15" s="5"/>
      <c r="I15" s="8" t="str">
        <f>IF(E15="","",IF(OR(E15="kg",E15="g"),"g",IF(OR(E15="l",E15="ml"),"ml",IF(E15="un","un",""))))</f>
        <v>g</v>
      </c>
      <c r="J15" s="9">
        <f>IFERROR(F15/IF(OR(E15="kg",E15="l"),D15*1000,D15),"")</f>
        <v>0.095</v>
      </c>
      <c r="K15" s="5" t="s">
        <v>151</v>
      </c>
    </row>
    <row r="16" spans="1:11" x14ac:dyDescent="0.25">
      <c r="A16" s="7" t="s">
        <v>152</v>
      </c>
      <c r="B16" s="7" t="s">
        <v>79</v>
      </c>
      <c r="C16" s="7" t="s">
        <v>122</v>
      </c>
      <c r="D16" s="7">
        <v>1000</v>
      </c>
      <c r="E16" s="7" t="s">
        <v>123</v>
      </c>
      <c r="F16" s="7">
        <v>60</v>
      </c>
      <c r="G16" s="7">
        <v>60</v>
      </c>
      <c r="H16" s="5"/>
      <c r="I16" s="8" t="str">
        <f>IF(E16="","",IF(OR(E16="kg",E16="g"),"g",IF(OR(E16="l",E16="ml"),"ml",IF(E16="un","un",""))))</f>
        <v>g</v>
      </c>
      <c r="J16" s="9">
        <f>IFERROR(F16/IF(OR(E16="kg",E16="l"),D16*1000,D16),"")</f>
        <v>0.06</v>
      </c>
      <c r="K16" s="5" t="s">
        <v>151</v>
      </c>
    </row>
    <row r="17" spans="1:11" x14ac:dyDescent="0.25">
      <c r="A17" s="7" t="s">
        <v>153</v>
      </c>
      <c r="B17" s="7" t="s">
        <v>89</v>
      </c>
      <c r="C17" s="7" t="s">
        <v>136</v>
      </c>
      <c r="D17" s="7">
        <v>1</v>
      </c>
      <c r="E17" s="7" t="s">
        <v>141</v>
      </c>
      <c r="F17" s="7">
        <v>2.8</v>
      </c>
      <c r="G17" s="7">
        <v>100</v>
      </c>
      <c r="H17" s="5"/>
      <c r="I17" s="8" t="str">
        <f>IF(E17="","",IF(OR(E17="kg",E17="g"),"g",IF(OR(E17="l",E17="ml"),"ml",IF(E17="un","un",""))))</f>
        <v>un</v>
      </c>
      <c r="J17" s="9">
        <f>IFERROR(F17/IF(OR(E17="kg",E17="l"),D17*1000,D17),"")</f>
        <v>2.8</v>
      </c>
      <c r="K17" s="5" t="s">
        <v>130</v>
      </c>
    </row>
    <row r="18" spans="1:11" x14ac:dyDescent="0.25">
      <c r="A18" s="7" t="s">
        <v>154</v>
      </c>
      <c r="B18" s="7" t="s">
        <v>91</v>
      </c>
      <c r="C18" s="7" t="s">
        <v>155</v>
      </c>
      <c r="D18" s="7">
        <v>1</v>
      </c>
      <c r="E18" s="7" t="s">
        <v>141</v>
      </c>
      <c r="F18" s="7">
        <v>0.85</v>
      </c>
      <c r="G18" s="7">
        <v>100</v>
      </c>
      <c r="H18" s="5"/>
      <c r="I18" s="8" t="str">
        <f>IF(E18="","",IF(OR(E18="kg",E18="g"),"g",IF(OR(E18="l",E18="ml"),"ml",IF(E18="un","un",""))))</f>
        <v>un</v>
      </c>
      <c r="J18" s="9">
        <f>IFERROR(F18/IF(OR(E18="kg",E18="l"),D18*1000,D18),"")</f>
        <v>0.85</v>
      </c>
      <c r="K18" s="5" t="s">
        <v>130</v>
      </c>
    </row>
    <row r="19" spans="1:11" x14ac:dyDescent="0.25">
      <c r="A19" s="7"/>
      <c r="B19" s="7"/>
      <c r="C19" s="7"/>
      <c r="D19" s="7"/>
      <c r="E19" s="7"/>
      <c r="F19" s="7"/>
      <c r="G19" s="7"/>
      <c r="H19" s="5"/>
      <c r="I19" s="8">
        <f>IF(E19="","",IF(OR(E19="kg",E19="g"),"g",IF(OR(E19="l",E19="ml"),"ml",IF(E19="un","un",""))))</f>
      </c>
      <c r="J19" s="9">
        <f>IFERROR(F19/IF(OR(E19="kg",E19="l"),D19*1000,D19),"")</f>
      </c>
      <c r="K19" s="5"/>
    </row>
    <row r="20" spans="1:11" x14ac:dyDescent="0.25">
      <c r="A20" s="7"/>
      <c r="B20" s="7"/>
      <c r="C20" s="7"/>
      <c r="D20" s="7"/>
      <c r="E20" s="7"/>
      <c r="F20" s="7"/>
      <c r="G20" s="7"/>
      <c r="H20" s="5"/>
      <c r="I20" s="8">
        <f>IF(E20="","",IF(OR(E20="kg",E20="g"),"g",IF(OR(E20="l",E20="ml"),"ml",IF(E20="un","un",""))))</f>
      </c>
      <c r="J20" s="9">
        <f>IFERROR(F20/IF(OR(E20="kg",E20="l"),D20*1000,D20),"")</f>
      </c>
      <c r="K20" s="5"/>
    </row>
    <row r="21" spans="1:11" x14ac:dyDescent="0.25">
      <c r="A21" s="7"/>
      <c r="B21" s="7"/>
      <c r="C21" s="7"/>
      <c r="D21" s="7"/>
      <c r="E21" s="7"/>
      <c r="F21" s="7"/>
      <c r="G21" s="7"/>
      <c r="H21" s="5"/>
      <c r="I21" s="8">
        <f>IF(E21="","",IF(OR(E21="kg",E21="g"),"g",IF(OR(E21="l",E21="ml"),"ml",IF(E21="un","un",""))))</f>
      </c>
      <c r="J21" s="9">
        <f>IFERROR(F21/IF(OR(E21="kg",E21="l"),D21*1000,D21),"")</f>
      </c>
      <c r="K21" s="5"/>
    </row>
    <row r="22" spans="1:11" x14ac:dyDescent="0.25">
      <c r="A22" s="7"/>
      <c r="B22" s="7"/>
      <c r="C22" s="7"/>
      <c r="D22" s="7"/>
      <c r="E22" s="7"/>
      <c r="F22" s="7"/>
      <c r="G22" s="7"/>
      <c r="H22" s="5"/>
      <c r="I22" s="8">
        <f>IF(E22="","",IF(OR(E22="kg",E22="g"),"g",IF(OR(E22="l",E22="ml"),"ml",IF(E22="un","un",""))))</f>
      </c>
      <c r="J22" s="9">
        <f>IFERROR(F22/IF(OR(E22="kg",E22="l"),D22*1000,D22),"")</f>
      </c>
      <c r="K22" s="5"/>
    </row>
    <row r="23" spans="1:11" x14ac:dyDescent="0.25">
      <c r="A23" s="7"/>
      <c r="B23" s="7"/>
      <c r="C23" s="7"/>
      <c r="D23" s="7"/>
      <c r="E23" s="7"/>
      <c r="F23" s="7"/>
      <c r="G23" s="7"/>
      <c r="H23" s="5"/>
      <c r="I23" s="8">
        <f>IF(E23="","",IF(OR(E23="kg",E23="g"),"g",IF(OR(E23="l",E23="ml"),"ml",IF(E23="un","un",""))))</f>
      </c>
      <c r="J23" s="9">
        <f>IFERROR(F23/IF(OR(E23="kg",E23="l"),D23*1000,D23),"")</f>
      </c>
      <c r="K23" s="5"/>
    </row>
    <row r="24" spans="1:11" x14ac:dyDescent="0.25">
      <c r="A24" s="7"/>
      <c r="B24" s="7"/>
      <c r="C24" s="7"/>
      <c r="D24" s="7"/>
      <c r="E24" s="7"/>
      <c r="F24" s="7"/>
      <c r="G24" s="7"/>
      <c r="H24" s="5"/>
      <c r="I24" s="8">
        <f>IF(E24="","",IF(OR(E24="kg",E24="g"),"g",IF(OR(E24="l",E24="ml"),"ml",IF(E24="un","un",""))))</f>
      </c>
      <c r="J24" s="9">
        <f>IFERROR(F24/IF(OR(E24="kg",E24="l"),D24*1000,D24),"")</f>
      </c>
      <c r="K24" s="5"/>
    </row>
    <row r="25" spans="1:11" x14ac:dyDescent="0.25">
      <c r="A25" s="7"/>
      <c r="B25" s="7"/>
      <c r="C25" s="7"/>
      <c r="D25" s="7"/>
      <c r="E25" s="7"/>
      <c r="F25" s="7"/>
      <c r="G25" s="7"/>
      <c r="H25" s="5"/>
      <c r="I25" s="8">
        <f>IF(E25="","",IF(OR(E25="kg",E25="g"),"g",IF(OR(E25="l",E25="ml"),"ml",IF(E25="un","un",""))))</f>
      </c>
      <c r="J25" s="9">
        <f>IFERROR(F25/IF(OR(E25="kg",E25="l"),D25*1000,D25),"")</f>
      </c>
      <c r="K25" s="5"/>
    </row>
    <row r="26" spans="1:11" x14ac:dyDescent="0.25">
      <c r="A26" s="7"/>
      <c r="B26" s="7"/>
      <c r="C26" s="7"/>
      <c r="D26" s="7"/>
      <c r="E26" s="7"/>
      <c r="F26" s="7"/>
      <c r="G26" s="7"/>
      <c r="H26" s="5"/>
      <c r="I26" s="8">
        <f>IF(E26="","",IF(OR(E26="kg",E26="g"),"g",IF(OR(E26="l",E26="ml"),"ml",IF(E26="un","un",""))))</f>
      </c>
      <c r="J26" s="9">
        <f>IFERROR(F26/IF(OR(E26="kg",E26="l"),D26*1000,D26),"")</f>
      </c>
      <c r="K26" s="5"/>
    </row>
    <row r="27" spans="1:11" x14ac:dyDescent="0.25">
      <c r="A27" s="7"/>
      <c r="B27" s="7"/>
      <c r="C27" s="7"/>
      <c r="D27" s="7"/>
      <c r="E27" s="7"/>
      <c r="F27" s="7"/>
      <c r="G27" s="7"/>
      <c r="H27" s="5"/>
      <c r="I27" s="8">
        <f>IF(E27="","",IF(OR(E27="kg",E27="g"),"g",IF(OR(E27="l",E27="ml"),"ml",IF(E27="un","un",""))))</f>
      </c>
      <c r="J27" s="9">
        <f>IFERROR(F27/IF(OR(E27="kg",E27="l"),D27*1000,D27),"")</f>
      </c>
      <c r="K27" s="5"/>
    </row>
    <row r="28" spans="1:11" x14ac:dyDescent="0.25">
      <c r="A28" s="7"/>
      <c r="B28" s="7"/>
      <c r="C28" s="7"/>
      <c r="D28" s="7"/>
      <c r="E28" s="7"/>
      <c r="F28" s="7"/>
      <c r="G28" s="7"/>
      <c r="H28" s="5"/>
      <c r="I28" s="8">
        <f>IF(E28="","",IF(OR(E28="kg",E28="g"),"g",IF(OR(E28="l",E28="ml"),"ml",IF(E28="un","un",""))))</f>
      </c>
      <c r="J28" s="9">
        <f>IFERROR(F28/IF(OR(E28="kg",E28="l"),D28*1000,D28),"")</f>
      </c>
      <c r="K28" s="5"/>
    </row>
    <row r="29" spans="1:11" x14ac:dyDescent="0.25">
      <c r="A29" s="7"/>
      <c r="B29" s="7"/>
      <c r="C29" s="7"/>
      <c r="D29" s="7"/>
      <c r="E29" s="7"/>
      <c r="F29" s="7"/>
      <c r="G29" s="7"/>
      <c r="H29" s="5"/>
      <c r="I29" s="8">
        <f>IF(E29="","",IF(OR(E29="kg",E29="g"),"g",IF(OR(E29="l",E29="ml"),"ml",IF(E29="un","un",""))))</f>
      </c>
      <c r="J29" s="9">
        <f>IFERROR(F29/IF(OR(E29="kg",E29="l"),D29*1000,D29),"")</f>
      </c>
      <c r="K29" s="5"/>
    </row>
    <row r="30" spans="1:11" x14ac:dyDescent="0.25">
      <c r="A30" s="7"/>
      <c r="B30" s="7"/>
      <c r="C30" s="7"/>
      <c r="D30" s="7"/>
      <c r="E30" s="7"/>
      <c r="F30" s="7"/>
      <c r="G30" s="7"/>
      <c r="H30" s="5"/>
      <c r="I30" s="8">
        <f>IF(E30="","",IF(OR(E30="kg",E30="g"),"g",IF(OR(E30="l",E30="ml"),"ml",IF(E30="un","un",""))))</f>
      </c>
      <c r="J30" s="9">
        <f>IFERROR(F30/IF(OR(E30="kg",E30="l"),D30*1000,D30),"")</f>
      </c>
      <c r="K30" s="5"/>
    </row>
    <row r="31" spans="1:11" x14ac:dyDescent="0.25">
      <c r="A31" s="7"/>
      <c r="B31" s="7"/>
      <c r="C31" s="7"/>
      <c r="D31" s="7"/>
      <c r="E31" s="7"/>
      <c r="F31" s="7"/>
      <c r="G31" s="7"/>
      <c r="H31" s="5"/>
      <c r="I31" s="8">
        <f>IF(E31="","",IF(OR(E31="kg",E31="g"),"g",IF(OR(E31="l",E31="ml"),"ml",IF(E31="un","un",""))))</f>
      </c>
      <c r="J31" s="9">
        <f>IFERROR(F31/IF(OR(E31="kg",E31="l"),D31*1000,D31),"")</f>
      </c>
      <c r="K31" s="5"/>
    </row>
    <row r="32" spans="1:11" x14ac:dyDescent="0.25">
      <c r="A32" s="7"/>
      <c r="B32" s="7"/>
      <c r="C32" s="7"/>
      <c r="D32" s="7"/>
      <c r="E32" s="7"/>
      <c r="F32" s="7"/>
      <c r="G32" s="7"/>
      <c r="H32" s="5"/>
      <c r="I32" s="8">
        <f>IF(E32="","",IF(OR(E32="kg",E32="g"),"g",IF(OR(E32="l",E32="ml"),"ml",IF(E32="un","un",""))))</f>
      </c>
      <c r="J32" s="9">
        <f>IFERROR(F32/IF(OR(E32="kg",E32="l"),D32*1000,D32),"")</f>
      </c>
      <c r="K32" s="5"/>
    </row>
    <row r="33" spans="1:11" x14ac:dyDescent="0.25">
      <c r="A33" s="7"/>
      <c r="B33" s="7"/>
      <c r="C33" s="7"/>
      <c r="D33" s="7"/>
      <c r="E33" s="7"/>
      <c r="F33" s="7"/>
      <c r="G33" s="7"/>
      <c r="H33" s="5"/>
      <c r="I33" s="8">
        <f>IF(E33="","",IF(OR(E33="kg",E33="g"),"g",IF(OR(E33="l",E33="ml"),"ml",IF(E33="un","un",""))))</f>
      </c>
      <c r="J33" s="9">
        <f>IFERROR(F33/IF(OR(E33="kg",E33="l"),D33*1000,D33),"")</f>
      </c>
      <c r="K33" s="5"/>
    </row>
    <row r="34" spans="1:11" x14ac:dyDescent="0.25">
      <c r="A34" s="7"/>
      <c r="B34" s="7"/>
      <c r="C34" s="7"/>
      <c r="D34" s="7"/>
      <c r="E34" s="7"/>
      <c r="F34" s="7"/>
      <c r="G34" s="7"/>
      <c r="H34" s="5"/>
      <c r="I34" s="8">
        <f>IF(E34="","",IF(OR(E34="kg",E34="g"),"g",IF(OR(E34="l",E34="ml"),"ml",IF(E34="un","un",""))))</f>
      </c>
      <c r="J34" s="9">
        <f>IFERROR(F34/IF(OR(E34="kg",E34="l"),D34*1000,D34),"")</f>
      </c>
      <c r="K34" s="5"/>
    </row>
    <row r="35" spans="1:11" x14ac:dyDescent="0.25">
      <c r="A35" s="7"/>
      <c r="B35" s="7"/>
      <c r="C35" s="7"/>
      <c r="D35" s="7"/>
      <c r="E35" s="7"/>
      <c r="F35" s="7"/>
      <c r="G35" s="7"/>
      <c r="H35" s="5"/>
      <c r="I35" s="8">
        <f>IF(E35="","",IF(OR(E35="kg",E35="g"),"g",IF(OR(E35="l",E35="ml"),"ml",IF(E35="un","un",""))))</f>
      </c>
      <c r="J35" s="9">
        <f>IFERROR(F35/IF(OR(E35="kg",E35="l"),D35*1000,D35),"")</f>
      </c>
      <c r="K35" s="5"/>
    </row>
    <row r="36" spans="1:11" x14ac:dyDescent="0.25">
      <c r="A36" s="7"/>
      <c r="B36" s="7"/>
      <c r="C36" s="7"/>
      <c r="D36" s="7"/>
      <c r="E36" s="7"/>
      <c r="F36" s="7"/>
      <c r="G36" s="7"/>
      <c r="H36" s="5"/>
      <c r="I36" s="8">
        <f>IF(E36="","",IF(OR(E36="kg",E36="g"),"g",IF(OR(E36="l",E36="ml"),"ml",IF(E36="un","un",""))))</f>
      </c>
      <c r="J36" s="9">
        <f>IFERROR(F36/IF(OR(E36="kg",E36="l"),D36*1000,D36),"")</f>
      </c>
      <c r="K36" s="5"/>
    </row>
    <row r="37" spans="1:11" x14ac:dyDescent="0.25">
      <c r="A37" s="7"/>
      <c r="B37" s="7"/>
      <c r="C37" s="7"/>
      <c r="D37" s="7"/>
      <c r="E37" s="7"/>
      <c r="F37" s="7"/>
      <c r="G37" s="7"/>
      <c r="H37" s="5"/>
      <c r="I37" s="8">
        <f>IF(E37="","",IF(OR(E37="kg",E37="g"),"g",IF(OR(E37="l",E37="ml"),"ml",IF(E37="un","un",""))))</f>
      </c>
      <c r="J37" s="9">
        <f>IFERROR(F37/IF(OR(E37="kg",E37="l"),D37*1000,D37),"")</f>
      </c>
      <c r="K37" s="5"/>
    </row>
    <row r="38" spans="1:11" x14ac:dyDescent="0.25">
      <c r="A38" s="7"/>
      <c r="B38" s="7"/>
      <c r="C38" s="7"/>
      <c r="D38" s="7"/>
      <c r="E38" s="7"/>
      <c r="F38" s="7"/>
      <c r="G38" s="7"/>
      <c r="H38" s="5"/>
      <c r="I38" s="8">
        <f>IF(E38="","",IF(OR(E38="kg",E38="g"),"g",IF(OR(E38="l",E38="ml"),"ml",IF(E38="un","un",""))))</f>
      </c>
      <c r="J38" s="9">
        <f>IFERROR(F38/IF(OR(E38="kg",E38="l"),D38*1000,D38),"")</f>
      </c>
      <c r="K38" s="5"/>
    </row>
    <row r="39" spans="1:11" x14ac:dyDescent="0.25">
      <c r="A39" s="7"/>
      <c r="B39" s="7"/>
      <c r="C39" s="7"/>
      <c r="D39" s="7"/>
      <c r="E39" s="7"/>
      <c r="F39" s="7"/>
      <c r="G39" s="7"/>
      <c r="H39" s="5"/>
      <c r="I39" s="8">
        <f>IF(E39="","",IF(OR(E39="kg",E39="g"),"g",IF(OR(E39="l",E39="ml"),"ml",IF(E39="un","un",""))))</f>
      </c>
      <c r="J39" s="9">
        <f>IFERROR(F39/IF(OR(E39="kg",E39="l"),D39*1000,D39),"")</f>
      </c>
      <c r="K39" s="5"/>
    </row>
    <row r="40" spans="1:11" x14ac:dyDescent="0.25">
      <c r="A40" s="7"/>
      <c r="B40" s="7"/>
      <c r="C40" s="7"/>
      <c r="D40" s="7"/>
      <c r="E40" s="7"/>
      <c r="F40" s="7"/>
      <c r="G40" s="7"/>
      <c r="H40" s="5"/>
      <c r="I40" s="8">
        <f>IF(E40="","",IF(OR(E40="kg",E40="g"),"g",IF(OR(E40="l",E40="ml"),"ml",IF(E40="un","un",""))))</f>
      </c>
      <c r="J40" s="9">
        <f>IFERROR(F40/IF(OR(E40="kg",E40="l"),D40*1000,D40),"")</f>
      </c>
      <c r="K40" s="5"/>
    </row>
    <row r="41" spans="1:11" x14ac:dyDescent="0.25">
      <c r="A41" s="7"/>
      <c r="B41" s="7"/>
      <c r="C41" s="7"/>
      <c r="D41" s="7"/>
      <c r="E41" s="7"/>
      <c r="F41" s="7"/>
      <c r="G41" s="7"/>
      <c r="H41" s="5"/>
      <c r="I41" s="8">
        <f>IF(E41="","",IF(OR(E41="kg",E41="g"),"g",IF(OR(E41="l",E41="ml"),"ml",IF(E41="un","un",""))))</f>
      </c>
      <c r="J41" s="9">
        <f>IFERROR(F41/IF(OR(E41="kg",E41="l"),D41*1000,D41),"")</f>
      </c>
      <c r="K41" s="5"/>
    </row>
    <row r="42" spans="1:11" x14ac:dyDescent="0.25">
      <c r="A42" s="7"/>
      <c r="B42" s="7"/>
      <c r="C42" s="7"/>
      <c r="D42" s="7"/>
      <c r="E42" s="7"/>
      <c r="F42" s="7"/>
      <c r="G42" s="7"/>
      <c r="H42" s="5"/>
      <c r="I42" s="8">
        <f>IF(E42="","",IF(OR(E42="kg",E42="g"),"g",IF(OR(E42="l",E42="ml"),"ml",IF(E42="un","un",""))))</f>
      </c>
      <c r="J42" s="9">
        <f>IFERROR(F42/IF(OR(E42="kg",E42="l"),D42*1000,D42),"")</f>
      </c>
      <c r="K42" s="5"/>
    </row>
    <row r="43" spans="1:11" x14ac:dyDescent="0.25">
      <c r="A43" s="7"/>
      <c r="B43" s="7"/>
      <c r="C43" s="7"/>
      <c r="D43" s="7"/>
      <c r="E43" s="7"/>
      <c r="F43" s="7"/>
      <c r="G43" s="7"/>
      <c r="H43" s="5"/>
      <c r="I43" s="8">
        <f>IF(E43="","",IF(OR(E43="kg",E43="g"),"g",IF(OR(E43="l",E43="ml"),"ml",IF(E43="un","un",""))))</f>
      </c>
      <c r="J43" s="9">
        <f>IFERROR(F43/IF(OR(E43="kg",E43="l"),D43*1000,D43),"")</f>
      </c>
      <c r="K43" s="5"/>
    </row>
    <row r="44" spans="1:11" x14ac:dyDescent="0.25">
      <c r="A44" s="7"/>
      <c r="B44" s="7"/>
      <c r="C44" s="7"/>
      <c r="D44" s="7"/>
      <c r="E44" s="7"/>
      <c r="F44" s="7"/>
      <c r="G44" s="7"/>
      <c r="H44" s="5"/>
      <c r="I44" s="8">
        <f>IF(E44="","",IF(OR(E44="kg",E44="g"),"g",IF(OR(E44="l",E44="ml"),"ml",IF(E44="un","un",""))))</f>
      </c>
      <c r="J44" s="9">
        <f>IFERROR(F44/IF(OR(E44="kg",E44="l"),D44*1000,D44),"")</f>
      </c>
      <c r="K44" s="5"/>
    </row>
    <row r="45" spans="1:11" x14ac:dyDescent="0.25">
      <c r="A45" s="7"/>
      <c r="B45" s="7"/>
      <c r="C45" s="7"/>
      <c r="D45" s="7"/>
      <c r="E45" s="7"/>
      <c r="F45" s="7"/>
      <c r="G45" s="7"/>
      <c r="H45" s="5"/>
      <c r="I45" s="8">
        <f>IF(E45="","",IF(OR(E45="kg",E45="g"),"g",IF(OR(E45="l",E45="ml"),"ml",IF(E45="un","un",""))))</f>
      </c>
      <c r="J45" s="9">
        <f>IFERROR(F45/IF(OR(E45="kg",E45="l"),D45*1000,D45),"")</f>
      </c>
      <c r="K45" s="5"/>
    </row>
    <row r="46" spans="1:11" x14ac:dyDescent="0.25">
      <c r="A46" s="7"/>
      <c r="B46" s="7"/>
      <c r="C46" s="7"/>
      <c r="D46" s="7"/>
      <c r="E46" s="7"/>
      <c r="F46" s="7"/>
      <c r="G46" s="7"/>
      <c r="H46" s="5"/>
      <c r="I46" s="8">
        <f>IF(E46="","",IF(OR(E46="kg",E46="g"),"g",IF(OR(E46="l",E46="ml"),"ml",IF(E46="un","un",""))))</f>
      </c>
      <c r="J46" s="9">
        <f>IFERROR(F46/IF(OR(E46="kg",E46="l"),D46*1000,D46),"")</f>
      </c>
      <c r="K46" s="5"/>
    </row>
    <row r="47" spans="1:11" x14ac:dyDescent="0.25">
      <c r="A47" s="7"/>
      <c r="B47" s="7"/>
      <c r="C47" s="7"/>
      <c r="D47" s="7"/>
      <c r="E47" s="7"/>
      <c r="F47" s="7"/>
      <c r="G47" s="7"/>
      <c r="H47" s="5"/>
      <c r="I47" s="8">
        <f>IF(E47="","",IF(OR(E47="kg",E47="g"),"g",IF(OR(E47="l",E47="ml"),"ml",IF(E47="un","un",""))))</f>
      </c>
      <c r="J47" s="9">
        <f>IFERROR(F47/IF(OR(E47="kg",E47="l"),D47*1000,D47),"")</f>
      </c>
      <c r="K47" s="5"/>
    </row>
    <row r="48" spans="1:11" x14ac:dyDescent="0.25">
      <c r="A48" s="7"/>
      <c r="B48" s="7"/>
      <c r="C48" s="7"/>
      <c r="D48" s="7"/>
      <c r="E48" s="7"/>
      <c r="F48" s="7"/>
      <c r="G48" s="7"/>
      <c r="H48" s="5"/>
      <c r="I48" s="8">
        <f>IF(E48="","",IF(OR(E48="kg",E48="g"),"g",IF(OR(E48="l",E48="ml"),"ml",IF(E48="un","un",""))))</f>
      </c>
      <c r="J48" s="9">
        <f>IFERROR(F48/IF(OR(E48="kg",E48="l"),D48*1000,D48),"")</f>
      </c>
      <c r="K48" s="5"/>
    </row>
    <row r="49" spans="1:11" x14ac:dyDescent="0.25">
      <c r="A49" s="7"/>
      <c r="B49" s="7"/>
      <c r="C49" s="7"/>
      <c r="D49" s="7"/>
      <c r="E49" s="7"/>
      <c r="F49" s="7"/>
      <c r="G49" s="7"/>
      <c r="H49" s="5"/>
      <c r="I49" s="8">
        <f>IF(E49="","",IF(OR(E49="kg",E49="g"),"g",IF(OR(E49="l",E49="ml"),"ml",IF(E49="un","un",""))))</f>
      </c>
      <c r="J49" s="9">
        <f>IFERROR(F49/IF(OR(E49="kg",E49="l"),D49*1000,D49),"")</f>
      </c>
      <c r="K49" s="5"/>
    </row>
    <row r="50" spans="1:11" x14ac:dyDescent="0.25">
      <c r="A50" s="7"/>
      <c r="B50" s="7"/>
      <c r="C50" s="7"/>
      <c r="D50" s="7"/>
      <c r="E50" s="7"/>
      <c r="F50" s="7"/>
      <c r="G50" s="7"/>
      <c r="H50" s="5"/>
      <c r="I50" s="8">
        <f>IF(E50="","",IF(OR(E50="kg",E50="g"),"g",IF(OR(E50="l",E50="ml"),"ml",IF(E50="un","un",""))))</f>
      </c>
      <c r="J50" s="9">
        <f>IFERROR(F50/IF(OR(E50="kg",E50="l"),D50*1000,D50),"")</f>
      </c>
      <c r="K50" s="5"/>
    </row>
    <row r="51" spans="1:11" x14ac:dyDescent="0.25">
      <c r="A51" s="7"/>
      <c r="B51" s="7"/>
      <c r="C51" s="7"/>
      <c r="D51" s="7"/>
      <c r="E51" s="7"/>
      <c r="F51" s="7"/>
      <c r="G51" s="7"/>
      <c r="H51" s="5"/>
      <c r="I51" s="8">
        <f>IF(E51="","",IF(OR(E51="kg",E51="g"),"g",IF(OR(E51="l",E51="ml"),"ml",IF(E51="un","un",""))))</f>
      </c>
      <c r="J51" s="9">
        <f>IFERROR(F51/IF(OR(E51="kg",E51="l"),D51*1000,D51),"")</f>
      </c>
      <c r="K51" s="5"/>
    </row>
    <row r="52" spans="1:11" x14ac:dyDescent="0.25">
      <c r="A52" s="7"/>
      <c r="B52" s="7"/>
      <c r="C52" s="7"/>
      <c r="D52" s="7"/>
      <c r="E52" s="7"/>
      <c r="F52" s="7"/>
      <c r="G52" s="7"/>
      <c r="H52" s="5"/>
      <c r="I52" s="8">
        <f>IF(E52="","",IF(OR(E52="kg",E52="g"),"g",IF(OR(E52="l",E52="ml"),"ml",IF(E52="un","un",""))))</f>
      </c>
      <c r="J52" s="9">
        <f>IFERROR(F52/IF(OR(E52="kg",E52="l"),D52*1000,D52),"")</f>
      </c>
      <c r="K52" s="5"/>
    </row>
    <row r="53" spans="1:11" x14ac:dyDescent="0.25">
      <c r="A53" s="7"/>
      <c r="B53" s="7"/>
      <c r="C53" s="7"/>
      <c r="D53" s="7"/>
      <c r="E53" s="7"/>
      <c r="F53" s="7"/>
      <c r="G53" s="7"/>
      <c r="H53" s="5"/>
      <c r="I53" s="8">
        <f>IF(E53="","",IF(OR(E53="kg",E53="g"),"g",IF(OR(E53="l",E53="ml"),"ml",IF(E53="un","un",""))))</f>
      </c>
      <c r="J53" s="9">
        <f>IFERROR(F53/IF(OR(E53="kg",E53="l"),D53*1000,D53),"")</f>
      </c>
      <c r="K53" s="5"/>
    </row>
    <row r="54" spans="1:11" x14ac:dyDescent="0.25">
      <c r="A54" s="7"/>
      <c r="B54" s="7"/>
      <c r="C54" s="7"/>
      <c r="D54" s="7"/>
      <c r="E54" s="7"/>
      <c r="F54" s="7"/>
      <c r="G54" s="7"/>
      <c r="H54" s="5"/>
      <c r="I54" s="8">
        <f>IF(E54="","",IF(OR(E54="kg",E54="g"),"g",IF(OR(E54="l",E54="ml"),"ml",IF(E54="un","un",""))))</f>
      </c>
      <c r="J54" s="9">
        <f>IFERROR(F54/IF(OR(E54="kg",E54="l"),D54*1000,D54),"")</f>
      </c>
      <c r="K54" s="5"/>
    </row>
    <row r="55" spans="1:11" x14ac:dyDescent="0.25">
      <c r="A55" s="7"/>
      <c r="B55" s="7"/>
      <c r="C55" s="7"/>
      <c r="D55" s="7"/>
      <c r="E55" s="7"/>
      <c r="F55" s="7"/>
      <c r="G55" s="7"/>
      <c r="H55" s="5"/>
      <c r="I55" s="8">
        <f>IF(E55="","",IF(OR(E55="kg",E55="g"),"g",IF(OR(E55="l",E55="ml"),"ml",IF(E55="un","un",""))))</f>
      </c>
      <c r="J55" s="9">
        <f>IFERROR(F55/IF(OR(E55="kg",E55="l"),D55*1000,D55),"")</f>
      </c>
      <c r="K55" s="5"/>
    </row>
    <row r="56" spans="1:11" x14ac:dyDescent="0.25">
      <c r="A56" s="7"/>
      <c r="B56" s="7"/>
      <c r="C56" s="7"/>
      <c r="D56" s="7"/>
      <c r="E56" s="7"/>
      <c r="F56" s="7"/>
      <c r="G56" s="7"/>
      <c r="H56" s="5"/>
      <c r="I56" s="8">
        <f>IF(E56="","",IF(OR(E56="kg",E56="g"),"g",IF(OR(E56="l",E56="ml"),"ml",IF(E56="un","un",""))))</f>
      </c>
      <c r="J56" s="9">
        <f>IFERROR(F56/IF(OR(E56="kg",E56="l"),D56*1000,D56),"")</f>
      </c>
      <c r="K56" s="5"/>
    </row>
    <row r="57" spans="1:11" x14ac:dyDescent="0.25">
      <c r="A57" s="7"/>
      <c r="B57" s="7"/>
      <c r="C57" s="7"/>
      <c r="D57" s="7"/>
      <c r="E57" s="7"/>
      <c r="F57" s="7"/>
      <c r="G57" s="7"/>
      <c r="H57" s="5"/>
      <c r="I57" s="8">
        <f>IF(E57="","",IF(OR(E57="kg",E57="g"),"g",IF(OR(E57="l",E57="ml"),"ml",IF(E57="un","un",""))))</f>
      </c>
      <c r="J57" s="9">
        <f>IFERROR(F57/IF(OR(E57="kg",E57="l"),D57*1000,D57),"")</f>
      </c>
      <c r="K57" s="5"/>
    </row>
    <row r="58" spans="1:11" x14ac:dyDescent="0.25">
      <c r="A58" s="7"/>
      <c r="B58" s="7"/>
      <c r="C58" s="7"/>
      <c r="D58" s="7"/>
      <c r="E58" s="7"/>
      <c r="F58" s="7"/>
      <c r="G58" s="7"/>
      <c r="H58" s="5"/>
      <c r="I58" s="8">
        <f>IF(E58="","",IF(OR(E58="kg",E58="g"),"g",IF(OR(E58="l",E58="ml"),"ml",IF(E58="un","un",""))))</f>
      </c>
      <c r="J58" s="9">
        <f>IFERROR(F58/IF(OR(E58="kg",E58="l"),D58*1000,D58),"")</f>
      </c>
      <c r="K58" s="5"/>
    </row>
    <row r="59" spans="1:11" x14ac:dyDescent="0.25">
      <c r="A59" s="7"/>
      <c r="B59" s="7"/>
      <c r="C59" s="7"/>
      <c r="D59" s="7"/>
      <c r="E59" s="7"/>
      <c r="F59" s="7"/>
      <c r="G59" s="7"/>
      <c r="H59" s="5"/>
      <c r="I59" s="8">
        <f>IF(E59="","",IF(OR(E59="kg",E59="g"),"g",IF(OR(E59="l",E59="ml"),"ml",IF(E59="un","un",""))))</f>
      </c>
      <c r="J59" s="9">
        <f>IFERROR(F59/IF(OR(E59="kg",E59="l"),D59*1000,D59),"")</f>
      </c>
      <c r="K59" s="5"/>
    </row>
    <row r="60" spans="1:11" x14ac:dyDescent="0.25">
      <c r="A60" s="7"/>
      <c r="B60" s="7"/>
      <c r="C60" s="7"/>
      <c r="D60" s="7"/>
      <c r="E60" s="7"/>
      <c r="F60" s="7"/>
      <c r="G60" s="7"/>
      <c r="H60" s="5"/>
      <c r="I60" s="8">
        <f>IF(E60="","",IF(OR(E60="kg",E60="g"),"g",IF(OR(E60="l",E60="ml"),"ml",IF(E60="un","un",""))))</f>
      </c>
      <c r="J60" s="9">
        <f>IFERROR(F60/IF(OR(E60="kg",E60="l"),D60*1000,D60),"")</f>
      </c>
      <c r="K60" s="5"/>
    </row>
    <row r="61" spans="1:11" x14ac:dyDescent="0.25">
      <c r="A61" s="7"/>
      <c r="B61" s="7"/>
      <c r="C61" s="7"/>
      <c r="D61" s="7"/>
      <c r="E61" s="7"/>
      <c r="F61" s="7"/>
      <c r="G61" s="7"/>
      <c r="H61" s="5"/>
      <c r="I61" s="8">
        <f>IF(E61="","",IF(OR(E61="kg",E61="g"),"g",IF(OR(E61="l",E61="ml"),"ml",IF(E61="un","un",""))))</f>
      </c>
      <c r="J61" s="9">
        <f>IFERROR(F61/IF(OR(E61="kg",E61="l"),D61*1000,D61),"")</f>
      </c>
      <c r="K61" s="5"/>
    </row>
    <row r="62" spans="1:11" x14ac:dyDescent="0.25">
      <c r="A62" s="7"/>
      <c r="B62" s="7"/>
      <c r="C62" s="7"/>
      <c r="D62" s="7"/>
      <c r="E62" s="7"/>
      <c r="F62" s="7"/>
      <c r="G62" s="7"/>
      <c r="H62" s="5"/>
      <c r="I62" s="8">
        <f>IF(E62="","",IF(OR(E62="kg",E62="g"),"g",IF(OR(E62="l",E62="ml"),"ml",IF(E62="un","un",""))))</f>
      </c>
      <c r="J62" s="9">
        <f>IFERROR(F62/IF(OR(E62="kg",E62="l"),D62*1000,D62),"")</f>
      </c>
      <c r="K62" s="5"/>
    </row>
    <row r="63" spans="1:11" x14ac:dyDescent="0.25">
      <c r="A63" s="7"/>
      <c r="B63" s="7"/>
      <c r="C63" s="7"/>
      <c r="D63" s="7"/>
      <c r="E63" s="7"/>
      <c r="F63" s="7"/>
      <c r="G63" s="7"/>
      <c r="H63" s="5"/>
      <c r="I63" s="8">
        <f>IF(E63="","",IF(OR(E63="kg",E63="g"),"g",IF(OR(E63="l",E63="ml"),"ml",IF(E63="un","un",""))))</f>
      </c>
      <c r="J63" s="9">
        <f>IFERROR(F63/IF(OR(E63="kg",E63="l"),D63*1000,D63),"")</f>
      </c>
      <c r="K63" s="5"/>
    </row>
    <row r="64" spans="1:11" x14ac:dyDescent="0.25">
      <c r="A64" s="7"/>
      <c r="B64" s="7"/>
      <c r="C64" s="7"/>
      <c r="D64" s="7"/>
      <c r="E64" s="7"/>
      <c r="F64" s="7"/>
      <c r="G64" s="7"/>
      <c r="H64" s="5"/>
      <c r="I64" s="8">
        <f>IF(E64="","",IF(OR(E64="kg",E64="g"),"g",IF(OR(E64="l",E64="ml"),"ml",IF(E64="un","un",""))))</f>
      </c>
      <c r="J64" s="9">
        <f>IFERROR(F64/IF(OR(E64="kg",E64="l"),D64*1000,D64),"")</f>
      </c>
      <c r="K64" s="5"/>
    </row>
    <row r="65" spans="1:11" x14ac:dyDescent="0.25">
      <c r="A65" s="7"/>
      <c r="B65" s="7"/>
      <c r="C65" s="7"/>
      <c r="D65" s="7"/>
      <c r="E65" s="7"/>
      <c r="F65" s="7"/>
      <c r="G65" s="7"/>
      <c r="H65" s="5"/>
      <c r="I65" s="8">
        <f>IF(E65="","",IF(OR(E65="kg",E65="g"),"g",IF(OR(E65="l",E65="ml"),"ml",IF(E65="un","un",""))))</f>
      </c>
      <c r="J65" s="9">
        <f>IFERROR(F65/IF(OR(E65="kg",E65="l"),D65*1000,D65),"")</f>
      </c>
      <c r="K65" s="5"/>
    </row>
    <row r="66" spans="1:11" x14ac:dyDescent="0.25">
      <c r="A66" s="7"/>
      <c r="B66" s="7"/>
      <c r="C66" s="7"/>
      <c r="D66" s="7"/>
      <c r="E66" s="7"/>
      <c r="F66" s="7"/>
      <c r="G66" s="7"/>
      <c r="H66" s="5"/>
      <c r="I66" s="8">
        <f>IF(E66="","",IF(OR(E66="kg",E66="g"),"g",IF(OR(E66="l",E66="ml"),"ml",IF(E66="un","un",""))))</f>
      </c>
      <c r="J66" s="9">
        <f>IFERROR(F66/IF(OR(E66="kg",E66="l"),D66*1000,D66),"")</f>
      </c>
      <c r="K66" s="5"/>
    </row>
    <row r="67" spans="1:11" x14ac:dyDescent="0.25">
      <c r="A67" s="7"/>
      <c r="B67" s="7"/>
      <c r="C67" s="7"/>
      <c r="D67" s="7"/>
      <c r="E67" s="7"/>
      <c r="F67" s="7"/>
      <c r="G67" s="7"/>
      <c r="H67" s="5"/>
      <c r="I67" s="8">
        <f>IF(E67="","",IF(OR(E67="kg",E67="g"),"g",IF(OR(E67="l",E67="ml"),"ml",IF(E67="un","un",""))))</f>
      </c>
      <c r="J67" s="9">
        <f>IFERROR(F67/IF(OR(E67="kg",E67="l"),D67*1000,D67),"")</f>
      </c>
      <c r="K67" s="5"/>
    </row>
    <row r="68" spans="1:11" x14ac:dyDescent="0.25">
      <c r="A68" s="7"/>
      <c r="B68" s="7"/>
      <c r="C68" s="7"/>
      <c r="D68" s="7"/>
      <c r="E68" s="7"/>
      <c r="F68" s="7"/>
      <c r="G68" s="7"/>
      <c r="H68" s="5"/>
      <c r="I68" s="8">
        <f>IF(E68="","",IF(OR(E68="kg",E68="g"),"g",IF(OR(E68="l",E68="ml"),"ml",IF(E68="un","un",""))))</f>
      </c>
      <c r="J68" s="9">
        <f>IFERROR(F68/IF(OR(E68="kg",E68="l"),D68*1000,D68),"")</f>
      </c>
      <c r="K68" s="5"/>
    </row>
    <row r="69" spans="1:11" x14ac:dyDescent="0.25">
      <c r="A69" s="7"/>
      <c r="B69" s="7"/>
      <c r="C69" s="7"/>
      <c r="D69" s="7"/>
      <c r="E69" s="7"/>
      <c r="F69" s="7"/>
      <c r="G69" s="7"/>
      <c r="H69" s="5"/>
      <c r="I69" s="8">
        <f>IF(E69="","",IF(OR(E69="kg",E69="g"),"g",IF(OR(E69="l",E69="ml"),"ml",IF(E69="un","un",""))))</f>
      </c>
      <c r="J69" s="9">
        <f>IFERROR(F69/IF(OR(E69="kg",E69="l"),D69*1000,D69),"")</f>
      </c>
      <c r="K69" s="5"/>
    </row>
    <row r="70" spans="1:11" x14ac:dyDescent="0.25">
      <c r="A70" s="7"/>
      <c r="B70" s="7"/>
      <c r="C70" s="7"/>
      <c r="D70" s="7"/>
      <c r="E70" s="7"/>
      <c r="F70" s="7"/>
      <c r="G70" s="7"/>
      <c r="H70" s="5"/>
      <c r="I70" s="8">
        <f>IF(E70="","",IF(OR(E70="kg",E70="g"),"g",IF(OR(E70="l",E70="ml"),"ml",IF(E70="un","un",""))))</f>
      </c>
      <c r="J70" s="9">
        <f>IFERROR(F70/IF(OR(E70="kg",E70="l"),D70*1000,D70),"")</f>
      </c>
      <c r="K70" s="5"/>
    </row>
    <row r="71" spans="1:11" x14ac:dyDescent="0.25">
      <c r="A71" s="7"/>
      <c r="B71" s="7"/>
      <c r="C71" s="7"/>
      <c r="D71" s="7"/>
      <c r="E71" s="7"/>
      <c r="F71" s="7"/>
      <c r="G71" s="7"/>
      <c r="H71" s="5"/>
      <c r="I71" s="8">
        <f>IF(E71="","",IF(OR(E71="kg",E71="g"),"g",IF(OR(E71="l",E71="ml"),"ml",IF(E71="un","un",""))))</f>
      </c>
      <c r="J71" s="9">
        <f>IFERROR(F71/IF(OR(E71="kg",E71="l"),D71*1000,D71),"")</f>
      </c>
      <c r="K71" s="5"/>
    </row>
    <row r="72" spans="1:11" x14ac:dyDescent="0.25">
      <c r="A72" s="7"/>
      <c r="B72" s="7"/>
      <c r="C72" s="7"/>
      <c r="D72" s="7"/>
      <c r="E72" s="7"/>
      <c r="F72" s="7"/>
      <c r="G72" s="7"/>
      <c r="H72" s="5"/>
      <c r="I72" s="8">
        <f>IF(E72="","",IF(OR(E72="kg",E72="g"),"g",IF(OR(E72="l",E72="ml"),"ml",IF(E72="un","un",""))))</f>
      </c>
      <c r="J72" s="9">
        <f>IFERROR(F72/IF(OR(E72="kg",E72="l"),D72*1000,D72),"")</f>
      </c>
      <c r="K72" s="5"/>
    </row>
    <row r="73" spans="1:11" x14ac:dyDescent="0.25">
      <c r="A73" s="7"/>
      <c r="B73" s="7"/>
      <c r="C73" s="7"/>
      <c r="D73" s="7"/>
      <c r="E73" s="7"/>
      <c r="F73" s="7"/>
      <c r="G73" s="7"/>
      <c r="H73" s="5"/>
      <c r="I73" s="8">
        <f>IF(E73="","",IF(OR(E73="kg",E73="g"),"g",IF(OR(E73="l",E73="ml"),"ml",IF(E73="un","un",""))))</f>
      </c>
      <c r="J73" s="9">
        <f>IFERROR(F73/IF(OR(E73="kg",E73="l"),D73*1000,D73),"")</f>
      </c>
      <c r="K73" s="5"/>
    </row>
    <row r="74" spans="1:11" x14ac:dyDescent="0.25">
      <c r="A74" s="7"/>
      <c r="B74" s="7"/>
      <c r="C74" s="7"/>
      <c r="D74" s="7"/>
      <c r="E74" s="7"/>
      <c r="F74" s="7"/>
      <c r="G74" s="7"/>
      <c r="H74" s="5"/>
      <c r="I74" s="8">
        <f>IF(E74="","",IF(OR(E74="kg",E74="g"),"g",IF(OR(E74="l",E74="ml"),"ml",IF(E74="un","un",""))))</f>
      </c>
      <c r="J74" s="9">
        <f>IFERROR(F74/IF(OR(E74="kg",E74="l"),D74*1000,D74),"")</f>
      </c>
      <c r="K74" s="5"/>
    </row>
    <row r="75" spans="1:11" x14ac:dyDescent="0.25">
      <c r="A75" s="7"/>
      <c r="B75" s="7"/>
      <c r="C75" s="7"/>
      <c r="D75" s="7"/>
      <c r="E75" s="7"/>
      <c r="F75" s="7"/>
      <c r="G75" s="7"/>
      <c r="H75" s="5"/>
      <c r="I75" s="8">
        <f>IF(E75="","",IF(OR(E75="kg",E75="g"),"g",IF(OR(E75="l",E75="ml"),"ml",IF(E75="un","un",""))))</f>
      </c>
      <c r="J75" s="9">
        <f>IFERROR(F75/IF(OR(E75="kg",E75="l"),D75*1000,D75),"")</f>
      </c>
      <c r="K75" s="5"/>
    </row>
    <row r="76" spans="1:11" x14ac:dyDescent="0.25">
      <c r="A76" s="7"/>
      <c r="B76" s="7"/>
      <c r="C76" s="7"/>
      <c r="D76" s="7"/>
      <c r="E76" s="7"/>
      <c r="F76" s="7"/>
      <c r="G76" s="7"/>
      <c r="H76" s="5"/>
      <c r="I76" s="8">
        <f>IF(E76="","",IF(OR(E76="kg",E76="g"),"g",IF(OR(E76="l",E76="ml"),"ml",IF(E76="un","un",""))))</f>
      </c>
      <c r="J76" s="9">
        <f>IFERROR(F76/IF(OR(E76="kg",E76="l"),D76*1000,D76),"")</f>
      </c>
      <c r="K76" s="5"/>
    </row>
    <row r="77" spans="1:11" x14ac:dyDescent="0.25">
      <c r="A77" s="7"/>
      <c r="B77" s="7"/>
      <c r="C77" s="7"/>
      <c r="D77" s="7"/>
      <c r="E77" s="7"/>
      <c r="F77" s="7"/>
      <c r="G77" s="7"/>
      <c r="H77" s="5"/>
      <c r="I77" s="8">
        <f>IF(E77="","",IF(OR(E77="kg",E77="g"),"g",IF(OR(E77="l",E77="ml"),"ml",IF(E77="un","un",""))))</f>
      </c>
      <c r="J77" s="9">
        <f>IFERROR(F77/IF(OR(E77="kg",E77="l"),D77*1000,D77),"")</f>
      </c>
      <c r="K77" s="5"/>
    </row>
    <row r="78" spans="1:11" x14ac:dyDescent="0.25">
      <c r="A78" s="7"/>
      <c r="B78" s="7"/>
      <c r="C78" s="7"/>
      <c r="D78" s="7"/>
      <c r="E78" s="7"/>
      <c r="F78" s="7"/>
      <c r="G78" s="7"/>
      <c r="H78" s="5"/>
      <c r="I78" s="8">
        <f>IF(E78="","",IF(OR(E78="kg",E78="g"),"g",IF(OR(E78="l",E78="ml"),"ml",IF(E78="un","un",""))))</f>
      </c>
      <c r="J78" s="9">
        <f>IFERROR(F78/IF(OR(E78="kg",E78="l"),D78*1000,D78),"")</f>
      </c>
      <c r="K78" s="5"/>
    </row>
    <row r="79" spans="1:11" x14ac:dyDescent="0.25">
      <c r="A79" s="7"/>
      <c r="B79" s="7"/>
      <c r="C79" s="7"/>
      <c r="D79" s="7"/>
      <c r="E79" s="7"/>
      <c r="F79" s="7"/>
      <c r="G79" s="7"/>
      <c r="H79" s="5"/>
      <c r="I79" s="8">
        <f>IF(E79="","",IF(OR(E79="kg",E79="g"),"g",IF(OR(E79="l",E79="ml"),"ml",IF(E79="un","un",""))))</f>
      </c>
      <c r="J79" s="9">
        <f>IFERROR(F79/IF(OR(E79="kg",E79="l"),D79*1000,D79),"")</f>
      </c>
      <c r="K79" s="5"/>
    </row>
    <row r="80" spans="1:11" x14ac:dyDescent="0.25">
      <c r="A80" s="7"/>
      <c r="B80" s="7"/>
      <c r="C80" s="7"/>
      <c r="D80" s="7"/>
      <c r="E80" s="7"/>
      <c r="F80" s="7"/>
      <c r="G80" s="7"/>
      <c r="H80" s="5"/>
      <c r="I80" s="8">
        <f>IF(E80="","",IF(OR(E80="kg",E80="g"),"g",IF(OR(E80="l",E80="ml"),"ml",IF(E80="un","un",""))))</f>
      </c>
      <c r="J80" s="9">
        <f>IFERROR(F80/IF(OR(E80="kg",E80="l"),D80*1000,D80),"")</f>
      </c>
      <c r="K80" s="5"/>
    </row>
    <row r="81" spans="1:11" x14ac:dyDescent="0.25">
      <c r="A81" s="7"/>
      <c r="B81" s="7"/>
      <c r="C81" s="7"/>
      <c r="D81" s="7"/>
      <c r="E81" s="7"/>
      <c r="F81" s="7"/>
      <c r="G81" s="7"/>
      <c r="H81" s="5"/>
      <c r="I81" s="8">
        <f>IF(E81="","",IF(OR(E81="kg",E81="g"),"g",IF(OR(E81="l",E81="ml"),"ml",IF(E81="un","un",""))))</f>
      </c>
      <c r="J81" s="9">
        <f>IFERROR(F81/IF(OR(E81="kg",E81="l"),D81*1000,D81),"")</f>
      </c>
      <c r="K81" s="5"/>
    </row>
    <row r="82" spans="1:11" x14ac:dyDescent="0.25">
      <c r="A82" s="7"/>
      <c r="B82" s="7"/>
      <c r="C82" s="7"/>
      <c r="D82" s="7"/>
      <c r="E82" s="7"/>
      <c r="F82" s="7"/>
      <c r="G82" s="7"/>
      <c r="H82" s="5"/>
      <c r="I82" s="8">
        <f>IF(E82="","",IF(OR(E82="kg",E82="g"),"g",IF(OR(E82="l",E82="ml"),"ml",IF(E82="un","un",""))))</f>
      </c>
      <c r="J82" s="9">
        <f>IFERROR(F82/IF(OR(E82="kg",E82="l"),D82*1000,D82),"")</f>
      </c>
      <c r="K82" s="5"/>
    </row>
    <row r="83" spans="1:11" x14ac:dyDescent="0.25">
      <c r="A83" s="7"/>
      <c r="B83" s="7"/>
      <c r="C83" s="7"/>
      <c r="D83" s="7"/>
      <c r="E83" s="7"/>
      <c r="F83" s="7"/>
      <c r="G83" s="7"/>
      <c r="H83" s="5"/>
      <c r="I83" s="8">
        <f>IF(E83="","",IF(OR(E83="kg",E83="g"),"g",IF(OR(E83="l",E83="ml"),"ml",IF(E83="un","un",""))))</f>
      </c>
      <c r="J83" s="9">
        <f>IFERROR(F83/IF(OR(E83="kg",E83="l"),D83*1000,D83),"")</f>
      </c>
      <c r="K83" s="5"/>
    </row>
    <row r="84" spans="1:11" x14ac:dyDescent="0.25">
      <c r="A84" s="7"/>
      <c r="B84" s="7"/>
      <c r="C84" s="7"/>
      <c r="D84" s="7"/>
      <c r="E84" s="7"/>
      <c r="F84" s="7"/>
      <c r="G84" s="7"/>
      <c r="H84" s="5"/>
      <c r="I84" s="8">
        <f>IF(E84="","",IF(OR(E84="kg",E84="g"),"g",IF(OR(E84="l",E84="ml"),"ml",IF(E84="un","un",""))))</f>
      </c>
      <c r="J84" s="9">
        <f>IFERROR(F84/IF(OR(E84="kg",E84="l"),D84*1000,D84),"")</f>
      </c>
      <c r="K84" s="5"/>
    </row>
    <row r="85" spans="1:11" x14ac:dyDescent="0.25">
      <c r="A85" s="7"/>
      <c r="B85" s="7"/>
      <c r="C85" s="7"/>
      <c r="D85" s="7"/>
      <c r="E85" s="7"/>
      <c r="F85" s="7"/>
      <c r="G85" s="7"/>
      <c r="H85" s="5"/>
      <c r="I85" s="8">
        <f>IF(E85="","",IF(OR(E85="kg",E85="g"),"g",IF(OR(E85="l",E85="ml"),"ml",IF(E85="un","un",""))))</f>
      </c>
      <c r="J85" s="9">
        <f>IFERROR(F85/IF(OR(E85="kg",E85="l"),D85*1000,D85),"")</f>
      </c>
      <c r="K85" s="5"/>
    </row>
    <row r="86" spans="1:11" x14ac:dyDescent="0.25">
      <c r="A86" s="7"/>
      <c r="B86" s="7"/>
      <c r="C86" s="7"/>
      <c r="D86" s="7"/>
      <c r="E86" s="7"/>
      <c r="F86" s="7"/>
      <c r="G86" s="7"/>
      <c r="H86" s="5"/>
      <c r="I86" s="8">
        <f>IF(E86="","",IF(OR(E86="kg",E86="g"),"g",IF(OR(E86="l",E86="ml"),"ml",IF(E86="un","un",""))))</f>
      </c>
      <c r="J86" s="9">
        <f>IFERROR(F86/IF(OR(E86="kg",E86="l"),D86*1000,D86),"")</f>
      </c>
      <c r="K86" s="5"/>
    </row>
    <row r="87" spans="1:11" x14ac:dyDescent="0.25">
      <c r="A87" s="7"/>
      <c r="B87" s="7"/>
      <c r="C87" s="7"/>
      <c r="D87" s="7"/>
      <c r="E87" s="7"/>
      <c r="F87" s="7"/>
      <c r="G87" s="7"/>
      <c r="H87" s="5"/>
      <c r="I87" s="8">
        <f>IF(E87="","",IF(OR(E87="kg",E87="g"),"g",IF(OR(E87="l",E87="ml"),"ml",IF(E87="un","un",""))))</f>
      </c>
      <c r="J87" s="9">
        <f>IFERROR(F87/IF(OR(E87="kg",E87="l"),D87*1000,D87),"")</f>
      </c>
      <c r="K87" s="5"/>
    </row>
    <row r="88" spans="1:11" x14ac:dyDescent="0.25">
      <c r="A88" s="7"/>
      <c r="B88" s="7"/>
      <c r="C88" s="7"/>
      <c r="D88" s="7"/>
      <c r="E88" s="7"/>
      <c r="F88" s="7"/>
      <c r="G88" s="7"/>
      <c r="H88" s="5"/>
      <c r="I88" s="8">
        <f>IF(E88="","",IF(OR(E88="kg",E88="g"),"g",IF(OR(E88="l",E88="ml"),"ml",IF(E88="un","un",""))))</f>
      </c>
      <c r="J88" s="9">
        <f>IFERROR(F88/IF(OR(E88="kg",E88="l"),D88*1000,D88),"")</f>
      </c>
      <c r="K88" s="5"/>
    </row>
    <row r="89" spans="1:11" x14ac:dyDescent="0.25">
      <c r="A89" s="7"/>
      <c r="B89" s="7"/>
      <c r="C89" s="7"/>
      <c r="D89" s="7"/>
      <c r="E89" s="7"/>
      <c r="F89" s="7"/>
      <c r="G89" s="7"/>
      <c r="H89" s="5"/>
      <c r="I89" s="8">
        <f>IF(E89="","",IF(OR(E89="kg",E89="g"),"g",IF(OR(E89="l",E89="ml"),"ml",IF(E89="un","un",""))))</f>
      </c>
      <c r="J89" s="9">
        <f>IFERROR(F89/IF(OR(E89="kg",E89="l"),D89*1000,D89),"")</f>
      </c>
      <c r="K89" s="5"/>
    </row>
    <row r="90" spans="1:11" x14ac:dyDescent="0.25">
      <c r="A90" s="7"/>
      <c r="B90" s="7"/>
      <c r="C90" s="7"/>
      <c r="D90" s="7"/>
      <c r="E90" s="7"/>
      <c r="F90" s="7"/>
      <c r="G90" s="7"/>
      <c r="H90" s="5"/>
      <c r="I90" s="8">
        <f>IF(E90="","",IF(OR(E90="kg",E90="g"),"g",IF(OR(E90="l",E90="ml"),"ml",IF(E90="un","un",""))))</f>
      </c>
      <c r="J90" s="9">
        <f>IFERROR(F90/IF(OR(E90="kg",E90="l"),D90*1000,D90),"")</f>
      </c>
      <c r="K90" s="5"/>
    </row>
    <row r="91" spans="1:11" x14ac:dyDescent="0.25">
      <c r="A91" s="7"/>
      <c r="B91" s="7"/>
      <c r="C91" s="7"/>
      <c r="D91" s="7"/>
      <c r="E91" s="7"/>
      <c r="F91" s="7"/>
      <c r="G91" s="7"/>
      <c r="H91" s="5"/>
      <c r="I91" s="8">
        <f>IF(E91="","",IF(OR(E91="kg",E91="g"),"g",IF(OR(E91="l",E91="ml"),"ml",IF(E91="un","un",""))))</f>
      </c>
      <c r="J91" s="9">
        <f>IFERROR(F91/IF(OR(E91="kg",E91="l"),D91*1000,D91),"")</f>
      </c>
      <c r="K91" s="5"/>
    </row>
    <row r="92" spans="1:11" x14ac:dyDescent="0.25">
      <c r="A92" s="7"/>
      <c r="B92" s="7"/>
      <c r="C92" s="7"/>
      <c r="D92" s="7"/>
      <c r="E92" s="7"/>
      <c r="F92" s="7"/>
      <c r="G92" s="7"/>
      <c r="H92" s="5"/>
      <c r="I92" s="8">
        <f>IF(E92="","",IF(OR(E92="kg",E92="g"),"g",IF(OR(E92="l",E92="ml"),"ml",IF(E92="un","un",""))))</f>
      </c>
      <c r="J92" s="9">
        <f>IFERROR(F92/IF(OR(E92="kg",E92="l"),D92*1000,D92),"")</f>
      </c>
      <c r="K92" s="5"/>
    </row>
    <row r="93" spans="1:11" x14ac:dyDescent="0.25">
      <c r="A93" s="7"/>
      <c r="B93" s="7"/>
      <c r="C93" s="7"/>
      <c r="D93" s="7"/>
      <c r="E93" s="7"/>
      <c r="F93" s="7"/>
      <c r="G93" s="7"/>
      <c r="H93" s="5"/>
      <c r="I93" s="8">
        <f>IF(E93="","",IF(OR(E93="kg",E93="g"),"g",IF(OR(E93="l",E93="ml"),"ml",IF(E93="un","un",""))))</f>
      </c>
      <c r="J93" s="9">
        <f>IFERROR(F93/IF(OR(E93="kg",E93="l"),D93*1000,D93),"")</f>
      </c>
      <c r="K93" s="5"/>
    </row>
    <row r="94" spans="1:11" x14ac:dyDescent="0.25">
      <c r="A94" s="7"/>
      <c r="B94" s="7"/>
      <c r="C94" s="7"/>
      <c r="D94" s="7"/>
      <c r="E94" s="7"/>
      <c r="F94" s="7"/>
      <c r="G94" s="7"/>
      <c r="H94" s="5"/>
      <c r="I94" s="8">
        <f>IF(E94="","",IF(OR(E94="kg",E94="g"),"g",IF(OR(E94="l",E94="ml"),"ml",IF(E94="un","un",""))))</f>
      </c>
      <c r="J94" s="9">
        <f>IFERROR(F94/IF(OR(E94="kg",E94="l"),D94*1000,D94),"")</f>
      </c>
      <c r="K94" s="5"/>
    </row>
    <row r="95" spans="1:11" x14ac:dyDescent="0.25">
      <c r="A95" s="7"/>
      <c r="B95" s="7"/>
      <c r="C95" s="7"/>
      <c r="D95" s="7"/>
      <c r="E95" s="7"/>
      <c r="F95" s="7"/>
      <c r="G95" s="7"/>
      <c r="H95" s="5"/>
      <c r="I95" s="8">
        <f>IF(E95="","",IF(OR(E95="kg",E95="g"),"g",IF(OR(E95="l",E95="ml"),"ml",IF(E95="un","un",""))))</f>
      </c>
      <c r="J95" s="9">
        <f>IFERROR(F95/IF(OR(E95="kg",E95="l"),D95*1000,D95),"")</f>
      </c>
      <c r="K95" s="5"/>
    </row>
    <row r="96" spans="1:11" x14ac:dyDescent="0.25">
      <c r="A96" s="7"/>
      <c r="B96" s="7"/>
      <c r="C96" s="7"/>
      <c r="D96" s="7"/>
      <c r="E96" s="7"/>
      <c r="F96" s="7"/>
      <c r="G96" s="7"/>
      <c r="H96" s="5"/>
      <c r="I96" s="8">
        <f>IF(E96="","",IF(OR(E96="kg",E96="g"),"g",IF(OR(E96="l",E96="ml"),"ml",IF(E96="un","un",""))))</f>
      </c>
      <c r="J96" s="9">
        <f>IFERROR(F96/IF(OR(E96="kg",E96="l"),D96*1000,D96),"")</f>
      </c>
      <c r="K96" s="5"/>
    </row>
    <row r="97" spans="1:11" x14ac:dyDescent="0.25">
      <c r="A97" s="7"/>
      <c r="B97" s="7"/>
      <c r="C97" s="7"/>
      <c r="D97" s="7"/>
      <c r="E97" s="7"/>
      <c r="F97" s="7"/>
      <c r="G97" s="7"/>
      <c r="H97" s="5"/>
      <c r="I97" s="8">
        <f>IF(E97="","",IF(OR(E97="kg",E97="g"),"g",IF(OR(E97="l",E97="ml"),"ml",IF(E97="un","un",""))))</f>
      </c>
      <c r="J97" s="9">
        <f>IFERROR(F97/IF(OR(E97="kg",E97="l"),D97*1000,D97),"")</f>
      </c>
      <c r="K97" s="5"/>
    </row>
    <row r="98" spans="1:11" x14ac:dyDescent="0.25">
      <c r="A98" s="7"/>
      <c r="B98" s="7"/>
      <c r="C98" s="7"/>
      <c r="D98" s="7"/>
      <c r="E98" s="7"/>
      <c r="F98" s="7"/>
      <c r="G98" s="7"/>
      <c r="H98" s="5"/>
      <c r="I98" s="8">
        <f>IF(E98="","",IF(OR(E98="kg",E98="g"),"g",IF(OR(E98="l",E98="ml"),"ml",IF(E98="un","un",""))))</f>
      </c>
      <c r="J98" s="9">
        <f>IFERROR(F98/IF(OR(E98="kg",E98="l"),D98*1000,D98),"")</f>
      </c>
      <c r="K98" s="5"/>
    </row>
    <row r="99" spans="1:11" x14ac:dyDescent="0.25">
      <c r="A99" s="7"/>
      <c r="B99" s="7"/>
      <c r="C99" s="7"/>
      <c r="D99" s="7"/>
      <c r="E99" s="7"/>
      <c r="F99" s="7"/>
      <c r="G99" s="7"/>
      <c r="H99" s="5"/>
      <c r="I99" s="8">
        <f>IF(E99="","",IF(OR(E99="kg",E99="g"),"g",IF(OR(E99="l",E99="ml"),"ml",IF(E99="un","un",""))))</f>
      </c>
      <c r="J99" s="9">
        <f>IFERROR(F99/IF(OR(E99="kg",E99="l"),D99*1000,D99),"")</f>
      </c>
      <c r="K99" s="5"/>
    </row>
    <row r="100" spans="1:11" x14ac:dyDescent="0.25">
      <c r="A100" s="7"/>
      <c r="B100" s="7"/>
      <c r="C100" s="7"/>
      <c r="D100" s="7"/>
      <c r="E100" s="7"/>
      <c r="F100" s="7"/>
      <c r="G100" s="7"/>
      <c r="H100" s="5"/>
      <c r="I100" s="8">
        <f>IF(E100="","",IF(OR(E100="kg",E100="g"),"g",IF(OR(E100="l",E100="ml"),"ml",IF(E100="un","un",""))))</f>
      </c>
      <c r="J100" s="9">
        <f>IFERROR(F100/IF(OR(E100="kg",E100="l"),D100*1000,D100),"")</f>
      </c>
      <c r="K100" s="5"/>
    </row>
    <row r="101" spans="1:11" x14ac:dyDescent="0.25">
      <c r="A101" s="7"/>
      <c r="B101" s="7"/>
      <c r="C101" s="7"/>
      <c r="D101" s="7"/>
      <c r="E101" s="7"/>
      <c r="F101" s="7"/>
      <c r="G101" s="7"/>
      <c r="H101" s="5"/>
      <c r="I101" s="8">
        <f>IF(E101="","",IF(OR(E101="kg",E101="g"),"g",IF(OR(E101="l",E101="ml"),"ml",IF(E101="un","un",""))))</f>
      </c>
      <c r="J101" s="9">
        <f>IFERROR(F101/IF(OR(E101="kg",E101="l"),D101*1000,D101),"")</f>
      </c>
      <c r="K101" s="5"/>
    </row>
    <row r="102" spans="1:11" x14ac:dyDescent="0.25">
      <c r="A102" s="7"/>
      <c r="B102" s="7"/>
      <c r="C102" s="7"/>
      <c r="D102" s="7"/>
      <c r="E102" s="7"/>
      <c r="F102" s="7"/>
      <c r="G102" s="7"/>
      <c r="H102" s="5"/>
      <c r="I102" s="8">
        <f>IF(E102="","",IF(OR(E102="kg",E102="g"),"g",IF(OR(E102="l",E102="ml"),"ml",IF(E102="un","un",""))))</f>
      </c>
      <c r="J102" s="9">
        <f>IFERROR(F102/IF(OR(E102="kg",E102="l"),D102*1000,D102),"")</f>
      </c>
      <c r="K102" s="5"/>
    </row>
    <row r="103" spans="1:11" x14ac:dyDescent="0.25">
      <c r="A103" s="7"/>
      <c r="B103" s="7"/>
      <c r="C103" s="7"/>
      <c r="D103" s="7"/>
      <c r="E103" s="7"/>
      <c r="F103" s="7"/>
      <c r="G103" s="7"/>
      <c r="H103" s="5"/>
      <c r="I103" s="8">
        <f>IF(E103="","",IF(OR(E103="kg",E103="g"),"g",IF(OR(E103="l",E103="ml"),"ml",IF(E103="un","un",""))))</f>
      </c>
      <c r="J103" s="9">
        <f>IFERROR(F103/IF(OR(E103="kg",E103="l"),D103*1000,D103),"")</f>
      </c>
      <c r="K103" s="5"/>
    </row>
    <row r="104" spans="1:11" x14ac:dyDescent="0.25">
      <c r="A104" s="7"/>
      <c r="B104" s="7"/>
      <c r="C104" s="7"/>
      <c r="D104" s="7"/>
      <c r="E104" s="7"/>
      <c r="F104" s="7"/>
      <c r="G104" s="7"/>
      <c r="H104" s="5"/>
      <c r="I104" s="8">
        <f>IF(E104="","",IF(OR(E104="kg",E104="g"),"g",IF(OR(E104="l",E104="ml"),"ml",IF(E104="un","un",""))))</f>
      </c>
      <c r="J104" s="9">
        <f>IFERROR(F104/IF(OR(E104="kg",E104="l"),D104*1000,D104),"")</f>
      </c>
      <c r="K104" s="5"/>
    </row>
    <row r="105" spans="1:11" x14ac:dyDescent="0.25">
      <c r="A105" s="7"/>
      <c r="B105" s="7"/>
      <c r="C105" s="7"/>
      <c r="D105" s="7"/>
      <c r="E105" s="7"/>
      <c r="F105" s="7"/>
      <c r="G105" s="7"/>
      <c r="H105" s="5"/>
      <c r="I105" s="8">
        <f>IF(E105="","",IF(OR(E105="kg",E105="g"),"g",IF(OR(E105="l",E105="ml"),"ml",IF(E105="un","un",""))))</f>
      </c>
      <c r="J105" s="9">
        <f>IFERROR(F105/IF(OR(E105="kg",E105="l"),D105*1000,D105),"")</f>
      </c>
      <c r="K105" s="5"/>
    </row>
    <row r="106" spans="1:11" x14ac:dyDescent="0.25">
      <c r="A106" s="7"/>
      <c r="B106" s="7"/>
      <c r="C106" s="7"/>
      <c r="D106" s="7"/>
      <c r="E106" s="7"/>
      <c r="F106" s="7"/>
      <c r="G106" s="7"/>
      <c r="H106" s="5"/>
      <c r="I106" s="8">
        <f>IF(E106="","",IF(OR(E106="kg",E106="g"),"g",IF(OR(E106="l",E106="ml"),"ml",IF(E106="un","un",""))))</f>
      </c>
      <c r="J106" s="9">
        <f>IFERROR(F106/IF(OR(E106="kg",E106="l"),D106*1000,D106),"")</f>
      </c>
      <c r="K106" s="5"/>
    </row>
    <row r="107" spans="1:11" x14ac:dyDescent="0.25">
      <c r="A107" s="7"/>
      <c r="B107" s="7"/>
      <c r="C107" s="7"/>
      <c r="D107" s="7"/>
      <c r="E107" s="7"/>
      <c r="F107" s="7"/>
      <c r="G107" s="7"/>
      <c r="H107" s="5"/>
      <c r="I107" s="8">
        <f>IF(E107="","",IF(OR(E107="kg",E107="g"),"g",IF(OR(E107="l",E107="ml"),"ml",IF(E107="un","un",""))))</f>
      </c>
      <c r="J107" s="9">
        <f>IFERROR(F107/IF(OR(E107="kg",E107="l"),D107*1000,D107),"")</f>
      </c>
      <c r="K107" s="5"/>
    </row>
    <row r="108" spans="1:11" x14ac:dyDescent="0.25">
      <c r="A108" s="7"/>
      <c r="B108" s="7"/>
      <c r="C108" s="7"/>
      <c r="D108" s="7"/>
      <c r="E108" s="7"/>
      <c r="F108" s="7"/>
      <c r="G108" s="7"/>
      <c r="H108" s="5"/>
      <c r="I108" s="8">
        <f>IF(E108="","",IF(OR(E108="kg",E108="g"),"g",IF(OR(E108="l",E108="ml"),"ml",IF(E108="un","un",""))))</f>
      </c>
      <c r="J108" s="9">
        <f>IFERROR(F108/IF(OR(E108="kg",E108="l"),D108*1000,D108),"")</f>
      </c>
      <c r="K108" s="5"/>
    </row>
    <row r="109" spans="1:11" x14ac:dyDescent="0.25">
      <c r="A109" s="7"/>
      <c r="B109" s="7"/>
      <c r="C109" s="7"/>
      <c r="D109" s="7"/>
      <c r="E109" s="7"/>
      <c r="F109" s="7"/>
      <c r="G109" s="7"/>
      <c r="H109" s="5"/>
      <c r="I109" s="8">
        <f>IF(E109="","",IF(OR(E109="kg",E109="g"),"g",IF(OR(E109="l",E109="ml"),"ml",IF(E109="un","un",""))))</f>
      </c>
      <c r="J109" s="9">
        <f>IFERROR(F109/IF(OR(E109="kg",E109="l"),D109*1000,D109),"")</f>
      </c>
      <c r="K109" s="5"/>
    </row>
    <row r="110" spans="1:11" x14ac:dyDescent="0.25">
      <c r="A110" s="7"/>
      <c r="B110" s="7"/>
      <c r="C110" s="7"/>
      <c r="D110" s="7"/>
      <c r="E110" s="7"/>
      <c r="F110" s="7"/>
      <c r="G110" s="7"/>
      <c r="H110" s="5"/>
      <c r="I110" s="8">
        <f>IF(E110="","",IF(OR(E110="kg",E110="g"),"g",IF(OR(E110="l",E110="ml"),"ml",IF(E110="un","un",""))))</f>
      </c>
      <c r="J110" s="9">
        <f>IFERROR(F110/IF(OR(E110="kg",E110="l"),D110*1000,D110),"")</f>
      </c>
      <c r="K110" s="5"/>
    </row>
    <row r="111" spans="1:11" x14ac:dyDescent="0.25">
      <c r="A111" s="7"/>
      <c r="B111" s="7"/>
      <c r="C111" s="7"/>
      <c r="D111" s="7"/>
      <c r="E111" s="7"/>
      <c r="F111" s="7"/>
      <c r="G111" s="7"/>
      <c r="H111" s="5"/>
      <c r="I111" s="8">
        <f>IF(E111="","",IF(OR(E111="kg",E111="g"),"g",IF(OR(E111="l",E111="ml"),"ml",IF(E111="un","un",""))))</f>
      </c>
      <c r="J111" s="9">
        <f>IFERROR(F111/IF(OR(E111="kg",E111="l"),D111*1000,D111),"")</f>
      </c>
      <c r="K111" s="5"/>
    </row>
    <row r="112" spans="1:11" x14ac:dyDescent="0.25">
      <c r="A112" s="7"/>
      <c r="B112" s="7"/>
      <c r="C112" s="7"/>
      <c r="D112" s="7"/>
      <c r="E112" s="7"/>
      <c r="F112" s="7"/>
      <c r="G112" s="7"/>
      <c r="H112" s="5"/>
      <c r="I112" s="8">
        <f>IF(E112="","",IF(OR(E112="kg",E112="g"),"g",IF(OR(E112="l",E112="ml"),"ml",IF(E112="un","un",""))))</f>
      </c>
      <c r="J112" s="9">
        <f>IFERROR(F112/IF(OR(E112="kg",E112="l"),D112*1000,D112),"")</f>
      </c>
      <c r="K112" s="5"/>
    </row>
    <row r="113" spans="1:11" x14ac:dyDescent="0.25">
      <c r="A113" s="7"/>
      <c r="B113" s="7"/>
      <c r="C113" s="7"/>
      <c r="D113" s="7"/>
      <c r="E113" s="7"/>
      <c r="F113" s="7"/>
      <c r="G113" s="7"/>
      <c r="H113" s="5"/>
      <c r="I113" s="8">
        <f>IF(E113="","",IF(OR(E113="kg",E113="g"),"g",IF(OR(E113="l",E113="ml"),"ml",IF(E113="un","un",""))))</f>
      </c>
      <c r="J113" s="9">
        <f>IFERROR(F113/IF(OR(E113="kg",E113="l"),D113*1000,D113),"")</f>
      </c>
      <c r="K113" s="5"/>
    </row>
    <row r="114" spans="1:11" x14ac:dyDescent="0.25">
      <c r="A114" s="7"/>
      <c r="B114" s="7"/>
      <c r="C114" s="7"/>
      <c r="D114" s="7"/>
      <c r="E114" s="7"/>
      <c r="F114" s="7"/>
      <c r="G114" s="7"/>
      <c r="H114" s="5"/>
      <c r="I114" s="8">
        <f>IF(E114="","",IF(OR(E114="kg",E114="g"),"g",IF(OR(E114="l",E114="ml"),"ml",IF(E114="un","un",""))))</f>
      </c>
      <c r="J114" s="9">
        <f>IFERROR(F114/IF(OR(E114="kg",E114="l"),D114*1000,D114),"")</f>
      </c>
      <c r="K114" s="5"/>
    </row>
    <row r="115" spans="1:11" x14ac:dyDescent="0.25">
      <c r="A115" s="7"/>
      <c r="B115" s="7"/>
      <c r="C115" s="7"/>
      <c r="D115" s="7"/>
      <c r="E115" s="7"/>
      <c r="F115" s="7"/>
      <c r="G115" s="7"/>
      <c r="H115" s="5"/>
      <c r="I115" s="8">
        <f>IF(E115="","",IF(OR(E115="kg",E115="g"),"g",IF(OR(E115="l",E115="ml"),"ml",IF(E115="un","un",""))))</f>
      </c>
      <c r="J115" s="9">
        <f>IFERROR(F115/IF(OR(E115="kg",E115="l"),D115*1000,D115),"")</f>
      </c>
      <c r="K115" s="5"/>
    </row>
    <row r="116" spans="1:11" x14ac:dyDescent="0.25">
      <c r="A116" s="7"/>
      <c r="B116" s="7"/>
      <c r="C116" s="7"/>
      <c r="D116" s="7"/>
      <c r="E116" s="7"/>
      <c r="F116" s="7"/>
      <c r="G116" s="7"/>
      <c r="H116" s="5"/>
      <c r="I116" s="8">
        <f>IF(E116="","",IF(OR(E116="kg",E116="g"),"g",IF(OR(E116="l",E116="ml"),"ml",IF(E116="un","un",""))))</f>
      </c>
      <c r="J116" s="9">
        <f>IFERROR(F116/IF(OR(E116="kg",E116="l"),D116*1000,D116),"")</f>
      </c>
      <c r="K116" s="5"/>
    </row>
    <row r="117" spans="1:11" x14ac:dyDescent="0.25">
      <c r="A117" s="7"/>
      <c r="B117" s="7"/>
      <c r="C117" s="7"/>
      <c r="D117" s="7"/>
      <c r="E117" s="7"/>
      <c r="F117" s="7"/>
      <c r="G117" s="7"/>
      <c r="H117" s="5"/>
      <c r="I117" s="8">
        <f>IF(E117="","",IF(OR(E117="kg",E117="g"),"g",IF(OR(E117="l",E117="ml"),"ml",IF(E117="un","un",""))))</f>
      </c>
      <c r="J117" s="9">
        <f>IFERROR(F117/IF(OR(E117="kg",E117="l"),D117*1000,D117),"")</f>
      </c>
      <c r="K117" s="5"/>
    </row>
    <row r="118" spans="1:11" x14ac:dyDescent="0.25">
      <c r="A118" s="7"/>
      <c r="B118" s="7"/>
      <c r="C118" s="7"/>
      <c r="D118" s="7"/>
      <c r="E118" s="7"/>
      <c r="F118" s="7"/>
      <c r="G118" s="7"/>
      <c r="H118" s="5"/>
      <c r="I118" s="8">
        <f>IF(E118="","",IF(OR(E118="kg",E118="g"),"g",IF(OR(E118="l",E118="ml"),"ml",IF(E118="un","un",""))))</f>
      </c>
      <c r="J118" s="9">
        <f>IFERROR(F118/IF(OR(E118="kg",E118="l"),D118*1000,D118),"")</f>
      </c>
      <c r="K118" s="5"/>
    </row>
    <row r="119" spans="1:11" x14ac:dyDescent="0.25">
      <c r="A119" s="7"/>
      <c r="B119" s="7"/>
      <c r="C119" s="7"/>
      <c r="D119" s="7"/>
      <c r="E119" s="7"/>
      <c r="F119" s="7"/>
      <c r="G119" s="7"/>
      <c r="H119" s="5"/>
      <c r="I119" s="8">
        <f>IF(E119="","",IF(OR(E119="kg",E119="g"),"g",IF(OR(E119="l",E119="ml"),"ml",IF(E119="un","un",""))))</f>
      </c>
      <c r="J119" s="9">
        <f>IFERROR(F119/IF(OR(E119="kg",E119="l"),D119*1000,D119),"")</f>
      </c>
      <c r="K119" s="5"/>
    </row>
    <row r="120" spans="1:11" x14ac:dyDescent="0.25">
      <c r="A120" s="7"/>
      <c r="B120" s="7"/>
      <c r="C120" s="7"/>
      <c r="D120" s="7"/>
      <c r="E120" s="7"/>
      <c r="F120" s="7"/>
      <c r="G120" s="7"/>
      <c r="H120" s="5"/>
      <c r="I120" s="8">
        <f>IF(E120="","",IF(OR(E120="kg",E120="g"),"g",IF(OR(E120="l",E120="ml"),"ml",IF(E120="un","un",""))))</f>
      </c>
      <c r="J120" s="9">
        <f>IFERROR(F120/IF(OR(E120="kg",E120="l"),D120*1000,D120),"")</f>
      </c>
      <c r="K120" s="5"/>
    </row>
    <row r="121" spans="1:11" x14ac:dyDescent="0.25">
      <c r="A121" s="7"/>
      <c r="B121" s="7"/>
      <c r="C121" s="7"/>
      <c r="D121" s="7"/>
      <c r="E121" s="7"/>
      <c r="F121" s="7"/>
      <c r="G121" s="7"/>
      <c r="H121" s="5"/>
      <c r="I121" s="8">
        <f>IF(E121="","",IF(OR(E121="kg",E121="g"),"g",IF(OR(E121="l",E121="ml"),"ml",IF(E121="un","un",""))))</f>
      </c>
      <c r="J121" s="9">
        <f>IFERROR(F121/IF(OR(E121="kg",E121="l"),D121*1000,D121),"")</f>
      </c>
      <c r="K121" s="5"/>
    </row>
    <row r="122" spans="1:11" x14ac:dyDescent="0.25">
      <c r="A122" s="7"/>
      <c r="B122" s="7"/>
      <c r="C122" s="7"/>
      <c r="D122" s="7"/>
      <c r="E122" s="7"/>
      <c r="F122" s="7"/>
      <c r="G122" s="7"/>
      <c r="H122" s="5"/>
      <c r="I122" s="8">
        <f>IF(E122="","",IF(OR(E122="kg",E122="g"),"g",IF(OR(E122="l",E122="ml"),"ml",IF(E122="un","un",""))))</f>
      </c>
      <c r="J122" s="9">
        <f>IFERROR(F122/IF(OR(E122="kg",E122="l"),D122*1000,D122),"")</f>
      </c>
      <c r="K122" s="5"/>
    </row>
    <row r="123" spans="1:11" x14ac:dyDescent="0.25">
      <c r="A123" s="7"/>
      <c r="B123" s="7"/>
      <c r="C123" s="7"/>
      <c r="D123" s="7"/>
      <c r="E123" s="7"/>
      <c r="F123" s="7"/>
      <c r="G123" s="7"/>
      <c r="H123" s="5"/>
      <c r="I123" s="8">
        <f>IF(E123="","",IF(OR(E123="kg",E123="g"),"g",IF(OR(E123="l",E123="ml"),"ml",IF(E123="un","un",""))))</f>
      </c>
      <c r="J123" s="9">
        <f>IFERROR(F123/IF(OR(E123="kg",E123="l"),D123*1000,D123),"")</f>
      </c>
      <c r="K123" s="5"/>
    </row>
    <row r="124" spans="1:11" x14ac:dyDescent="0.25">
      <c r="A124" s="7"/>
      <c r="B124" s="7"/>
      <c r="C124" s="7"/>
      <c r="D124" s="7"/>
      <c r="E124" s="7"/>
      <c r="F124" s="7"/>
      <c r="G124" s="7"/>
      <c r="H124" s="5"/>
      <c r="I124" s="8">
        <f>IF(E124="","",IF(OR(E124="kg",E124="g"),"g",IF(OR(E124="l",E124="ml"),"ml",IF(E124="un","un",""))))</f>
      </c>
      <c r="J124" s="9">
        <f>IFERROR(F124/IF(OR(E124="kg",E124="l"),D124*1000,D124),"")</f>
      </c>
      <c r="K124" s="5"/>
    </row>
    <row r="125" spans="1:11" x14ac:dyDescent="0.25">
      <c r="A125" s="7"/>
      <c r="B125" s="7"/>
      <c r="C125" s="7"/>
      <c r="D125" s="7"/>
      <c r="E125" s="7"/>
      <c r="F125" s="7"/>
      <c r="G125" s="7"/>
      <c r="H125" s="5"/>
      <c r="I125" s="8">
        <f>IF(E125="","",IF(OR(E125="kg",E125="g"),"g",IF(OR(E125="l",E125="ml"),"ml",IF(E125="un","un",""))))</f>
      </c>
      <c r="J125" s="9">
        <f>IFERROR(F125/IF(OR(E125="kg",E125="l"),D125*1000,D125),"")</f>
      </c>
      <c r="K125" s="5"/>
    </row>
    <row r="126" spans="1:11" x14ac:dyDescent="0.25">
      <c r="A126" s="7"/>
      <c r="B126" s="7"/>
      <c r="C126" s="7"/>
      <c r="D126" s="7"/>
      <c r="E126" s="7"/>
      <c r="F126" s="7"/>
      <c r="G126" s="7"/>
      <c r="H126" s="5"/>
      <c r="I126" s="8">
        <f>IF(E126="","",IF(OR(E126="kg",E126="g"),"g",IF(OR(E126="l",E126="ml"),"ml",IF(E126="un","un",""))))</f>
      </c>
      <c r="J126" s="9">
        <f>IFERROR(F126/IF(OR(E126="kg",E126="l"),D126*1000,D126),"")</f>
      </c>
      <c r="K126" s="5"/>
    </row>
    <row r="127" spans="1:11" x14ac:dyDescent="0.25">
      <c r="A127" s="7"/>
      <c r="B127" s="7"/>
      <c r="C127" s="7"/>
      <c r="D127" s="7"/>
      <c r="E127" s="7"/>
      <c r="F127" s="7"/>
      <c r="G127" s="7"/>
      <c r="H127" s="5"/>
      <c r="I127" s="8">
        <f>IF(E127="","",IF(OR(E127="kg",E127="g"),"g",IF(OR(E127="l",E127="ml"),"ml",IF(E127="un","un",""))))</f>
      </c>
      <c r="J127" s="9">
        <f>IFERROR(F127/IF(OR(E127="kg",E127="l"),D127*1000,D127),"")</f>
      </c>
      <c r="K127" s="5"/>
    </row>
    <row r="128" spans="1:11" x14ac:dyDescent="0.25">
      <c r="A128" s="7"/>
      <c r="B128" s="7"/>
      <c r="C128" s="7"/>
      <c r="D128" s="7"/>
      <c r="E128" s="7"/>
      <c r="F128" s="7"/>
      <c r="G128" s="7"/>
      <c r="H128" s="5"/>
      <c r="I128" s="8">
        <f>IF(E128="","",IF(OR(E128="kg",E128="g"),"g",IF(OR(E128="l",E128="ml"),"ml",IF(E128="un","un",""))))</f>
      </c>
      <c r="J128" s="9">
        <f>IFERROR(F128/IF(OR(E128="kg",E128="l"),D128*1000,D128),"")</f>
      </c>
      <c r="K128" s="5"/>
    </row>
    <row r="129" spans="1:11" x14ac:dyDescent="0.25">
      <c r="A129" s="7"/>
      <c r="B129" s="7"/>
      <c r="C129" s="7"/>
      <c r="D129" s="7"/>
      <c r="E129" s="7"/>
      <c r="F129" s="7"/>
      <c r="G129" s="7"/>
      <c r="H129" s="5"/>
      <c r="I129" s="8">
        <f>IF(E129="","",IF(OR(E129="kg",E129="g"),"g",IF(OR(E129="l",E129="ml"),"ml",IF(E129="un","un",""))))</f>
      </c>
      <c r="J129" s="9">
        <f>IFERROR(F129/IF(OR(E129="kg",E129="l"),D129*1000,D129),"")</f>
      </c>
      <c r="K129" s="5"/>
    </row>
    <row r="130" spans="1:11" x14ac:dyDescent="0.25">
      <c r="A130" s="7"/>
      <c r="B130" s="7"/>
      <c r="C130" s="7"/>
      <c r="D130" s="7"/>
      <c r="E130" s="7"/>
      <c r="F130" s="7"/>
      <c r="G130" s="7"/>
      <c r="H130" s="5"/>
      <c r="I130" s="8">
        <f>IF(E130="","",IF(OR(E130="kg",E130="g"),"g",IF(OR(E130="l",E130="ml"),"ml",IF(E130="un","un",""))))</f>
      </c>
      <c r="J130" s="9">
        <f>IFERROR(F130/IF(OR(E130="kg",E130="l"),D130*1000,D130),"")</f>
      </c>
      <c r="K130" s="5"/>
    </row>
    <row r="131" spans="1:11" x14ac:dyDescent="0.25">
      <c r="A131" s="7"/>
      <c r="B131" s="7"/>
      <c r="C131" s="7"/>
      <c r="D131" s="7"/>
      <c r="E131" s="7"/>
      <c r="F131" s="7"/>
      <c r="G131" s="7"/>
      <c r="H131" s="5"/>
      <c r="I131" s="8">
        <f>IF(E131="","",IF(OR(E131="kg",E131="g"),"g",IF(OR(E131="l",E131="ml"),"ml",IF(E131="un","un",""))))</f>
      </c>
      <c r="J131" s="9">
        <f>IFERROR(F131/IF(OR(E131="kg",E131="l"),D131*1000,D131),"")</f>
      </c>
      <c r="K131" s="5"/>
    </row>
    <row r="132" spans="1:11" x14ac:dyDescent="0.25">
      <c r="A132" s="7"/>
      <c r="B132" s="7"/>
      <c r="C132" s="7"/>
      <c r="D132" s="7"/>
      <c r="E132" s="7"/>
      <c r="F132" s="7"/>
      <c r="G132" s="7"/>
      <c r="H132" s="5"/>
      <c r="I132" s="8">
        <f>IF(E132="","",IF(OR(E132="kg",E132="g"),"g",IF(OR(E132="l",E132="ml"),"ml",IF(E132="un","un",""))))</f>
      </c>
      <c r="J132" s="9">
        <f>IFERROR(F132/IF(OR(E132="kg",E132="l"),D132*1000,D132),"")</f>
      </c>
      <c r="K132" s="5"/>
    </row>
    <row r="133" spans="1:11" x14ac:dyDescent="0.25">
      <c r="A133" s="7"/>
      <c r="B133" s="7"/>
      <c r="C133" s="7"/>
      <c r="D133" s="7"/>
      <c r="E133" s="7"/>
      <c r="F133" s="7"/>
      <c r="G133" s="7"/>
      <c r="H133" s="5"/>
      <c r="I133" s="8">
        <f>IF(E133="","",IF(OR(E133="kg",E133="g"),"g",IF(OR(E133="l",E133="ml"),"ml",IF(E133="un","un",""))))</f>
      </c>
      <c r="J133" s="9">
        <f>IFERROR(F133/IF(OR(E133="kg",E133="l"),D133*1000,D133),"")</f>
      </c>
      <c r="K133" s="5"/>
    </row>
    <row r="134" spans="1:11" x14ac:dyDescent="0.25">
      <c r="A134" s="7"/>
      <c r="B134" s="7"/>
      <c r="C134" s="7"/>
      <c r="D134" s="7"/>
      <c r="E134" s="7"/>
      <c r="F134" s="7"/>
      <c r="G134" s="7"/>
      <c r="H134" s="5"/>
      <c r="I134" s="8">
        <f>IF(E134="","",IF(OR(E134="kg",E134="g"),"g",IF(OR(E134="l",E134="ml"),"ml",IF(E134="un","un",""))))</f>
      </c>
      <c r="J134" s="9">
        <f>IFERROR(F134/IF(OR(E134="kg",E134="l"),D134*1000,D134),"")</f>
      </c>
      <c r="K134" s="5"/>
    </row>
    <row r="135" spans="1:11" x14ac:dyDescent="0.25">
      <c r="A135" s="7"/>
      <c r="B135" s="7"/>
      <c r="C135" s="7"/>
      <c r="D135" s="7"/>
      <c r="E135" s="7"/>
      <c r="F135" s="7"/>
      <c r="G135" s="7"/>
      <c r="H135" s="5"/>
      <c r="I135" s="8">
        <f>IF(E135="","",IF(OR(E135="kg",E135="g"),"g",IF(OR(E135="l",E135="ml"),"ml",IF(E135="un","un",""))))</f>
      </c>
      <c r="J135" s="9">
        <f>IFERROR(F135/IF(OR(E135="kg",E135="l"),D135*1000,D135),"")</f>
      </c>
      <c r="K135" s="5"/>
    </row>
    <row r="136" spans="1:11" x14ac:dyDescent="0.25">
      <c r="A136" s="7"/>
      <c r="B136" s="7"/>
      <c r="C136" s="7"/>
      <c r="D136" s="7"/>
      <c r="E136" s="7"/>
      <c r="F136" s="7"/>
      <c r="G136" s="7"/>
      <c r="H136" s="5"/>
      <c r="I136" s="8">
        <f>IF(E136="","",IF(OR(E136="kg",E136="g"),"g",IF(OR(E136="l",E136="ml"),"ml",IF(E136="un","un",""))))</f>
      </c>
      <c r="J136" s="9">
        <f>IFERROR(F136/IF(OR(E136="kg",E136="l"),D136*1000,D136),"")</f>
      </c>
      <c r="K136" s="5"/>
    </row>
    <row r="137" spans="1:11" x14ac:dyDescent="0.25">
      <c r="A137" s="7"/>
      <c r="B137" s="7"/>
      <c r="C137" s="7"/>
      <c r="D137" s="7"/>
      <c r="E137" s="7"/>
      <c r="F137" s="7"/>
      <c r="G137" s="7"/>
      <c r="H137" s="5"/>
      <c r="I137" s="8">
        <f>IF(E137="","",IF(OR(E137="kg",E137="g"),"g",IF(OR(E137="l",E137="ml"),"ml",IF(E137="un","un",""))))</f>
      </c>
      <c r="J137" s="9">
        <f>IFERROR(F137/IF(OR(E137="kg",E137="l"),D137*1000,D137),"")</f>
      </c>
      <c r="K137" s="5"/>
    </row>
    <row r="138" spans="1:11" x14ac:dyDescent="0.25">
      <c r="A138" s="7"/>
      <c r="B138" s="7"/>
      <c r="C138" s="7"/>
      <c r="D138" s="7"/>
      <c r="E138" s="7"/>
      <c r="F138" s="7"/>
      <c r="G138" s="7"/>
      <c r="H138" s="5"/>
      <c r="I138" s="8">
        <f>IF(E138="","",IF(OR(E138="kg",E138="g"),"g",IF(OR(E138="l",E138="ml"),"ml",IF(E138="un","un",""))))</f>
      </c>
      <c r="J138" s="9">
        <f>IFERROR(F138/IF(OR(E138="kg",E138="l"),D138*1000,D138),"")</f>
      </c>
      <c r="K138" s="5"/>
    </row>
    <row r="139" spans="1:11" x14ac:dyDescent="0.25">
      <c r="A139" s="7"/>
      <c r="B139" s="7"/>
      <c r="C139" s="7"/>
      <c r="D139" s="7"/>
      <c r="E139" s="7"/>
      <c r="F139" s="7"/>
      <c r="G139" s="7"/>
      <c r="H139" s="5"/>
      <c r="I139" s="8">
        <f>IF(E139="","",IF(OR(E139="kg",E139="g"),"g",IF(OR(E139="l",E139="ml"),"ml",IF(E139="un","un",""))))</f>
      </c>
      <c r="J139" s="9">
        <f>IFERROR(F139/IF(OR(E139="kg",E139="l"),D139*1000,D139),"")</f>
      </c>
      <c r="K139" s="5"/>
    </row>
    <row r="140" spans="1:11" x14ac:dyDescent="0.25">
      <c r="A140" s="7"/>
      <c r="B140" s="7"/>
      <c r="C140" s="7"/>
      <c r="D140" s="7"/>
      <c r="E140" s="7"/>
      <c r="F140" s="7"/>
      <c r="G140" s="7"/>
      <c r="H140" s="5"/>
      <c r="I140" s="8">
        <f>IF(E140="","",IF(OR(E140="kg",E140="g"),"g",IF(OR(E140="l",E140="ml"),"ml",IF(E140="un","un",""))))</f>
      </c>
      <c r="J140" s="9">
        <f>IFERROR(F140/IF(OR(E140="kg",E140="l"),D140*1000,D140),"")</f>
      </c>
      <c r="K140" s="5"/>
    </row>
    <row r="141" spans="1:11" x14ac:dyDescent="0.25">
      <c r="A141" s="7"/>
      <c r="B141" s="7"/>
      <c r="C141" s="7"/>
      <c r="D141" s="7"/>
      <c r="E141" s="7"/>
      <c r="F141" s="7"/>
      <c r="G141" s="7"/>
      <c r="H141" s="5"/>
      <c r="I141" s="8">
        <f>IF(E141="","",IF(OR(E141="kg",E141="g"),"g",IF(OR(E141="l",E141="ml"),"ml",IF(E141="un","un",""))))</f>
      </c>
      <c r="J141" s="9">
        <f>IFERROR(F141/IF(OR(E141="kg",E141="l"),D141*1000,D141),"")</f>
      </c>
      <c r="K141" s="5"/>
    </row>
    <row r="142" spans="1:11" x14ac:dyDescent="0.25">
      <c r="A142" s="7"/>
      <c r="B142" s="7"/>
      <c r="C142" s="7"/>
      <c r="D142" s="7"/>
      <c r="E142" s="7"/>
      <c r="F142" s="7"/>
      <c r="G142" s="7"/>
      <c r="H142" s="5"/>
      <c r="I142" s="8">
        <f>IF(E142="","",IF(OR(E142="kg",E142="g"),"g",IF(OR(E142="l",E142="ml"),"ml",IF(E142="un","un",""))))</f>
      </c>
      <c r="J142" s="9">
        <f>IFERROR(F142/IF(OR(E142="kg",E142="l"),D142*1000,D142),"")</f>
      </c>
      <c r="K142" s="5"/>
    </row>
    <row r="143" spans="1:11" x14ac:dyDescent="0.25">
      <c r="A143" s="7"/>
      <c r="B143" s="7"/>
      <c r="C143" s="7"/>
      <c r="D143" s="7"/>
      <c r="E143" s="7"/>
      <c r="F143" s="7"/>
      <c r="G143" s="7"/>
      <c r="H143" s="5"/>
      <c r="I143" s="8">
        <f>IF(E143="","",IF(OR(E143="kg",E143="g"),"g",IF(OR(E143="l",E143="ml"),"ml",IF(E143="un","un",""))))</f>
      </c>
      <c r="J143" s="9">
        <f>IFERROR(F143/IF(OR(E143="kg",E143="l"),D143*1000,D143),"")</f>
      </c>
      <c r="K143" s="5"/>
    </row>
    <row r="144" spans="1:11" x14ac:dyDescent="0.25">
      <c r="A144" s="7"/>
      <c r="B144" s="7"/>
      <c r="C144" s="7"/>
      <c r="D144" s="7"/>
      <c r="E144" s="7"/>
      <c r="F144" s="7"/>
      <c r="G144" s="7"/>
      <c r="H144" s="5"/>
      <c r="I144" s="8">
        <f>IF(E144="","",IF(OR(E144="kg",E144="g"),"g",IF(OR(E144="l",E144="ml"),"ml",IF(E144="un","un",""))))</f>
      </c>
      <c r="J144" s="9">
        <f>IFERROR(F144/IF(OR(E144="kg",E144="l"),D144*1000,D144),"")</f>
      </c>
      <c r="K144" s="5"/>
    </row>
    <row r="145" spans="1:11" x14ac:dyDescent="0.25">
      <c r="A145" s="7"/>
      <c r="B145" s="7"/>
      <c r="C145" s="7"/>
      <c r="D145" s="7"/>
      <c r="E145" s="7"/>
      <c r="F145" s="7"/>
      <c r="G145" s="7"/>
      <c r="H145" s="5"/>
      <c r="I145" s="8">
        <f>IF(E145="","",IF(OR(E145="kg",E145="g"),"g",IF(OR(E145="l",E145="ml"),"ml",IF(E145="un","un",""))))</f>
      </c>
      <c r="J145" s="9">
        <f>IFERROR(F145/IF(OR(E145="kg",E145="l"),D145*1000,D145),"")</f>
      </c>
      <c r="K145" s="5"/>
    </row>
    <row r="146" spans="1:11" x14ac:dyDescent="0.25">
      <c r="A146" s="7"/>
      <c r="B146" s="7"/>
      <c r="C146" s="7"/>
      <c r="D146" s="7"/>
      <c r="E146" s="7"/>
      <c r="F146" s="7"/>
      <c r="G146" s="7"/>
      <c r="H146" s="5"/>
      <c r="I146" s="8">
        <f>IF(E146="","",IF(OR(E146="kg",E146="g"),"g",IF(OR(E146="l",E146="ml"),"ml",IF(E146="un","un",""))))</f>
      </c>
      <c r="J146" s="9">
        <f>IFERROR(F146/IF(OR(E146="kg",E146="l"),D146*1000,D146),"")</f>
      </c>
      <c r="K146" s="5"/>
    </row>
    <row r="147" spans="1:11" x14ac:dyDescent="0.25">
      <c r="A147" s="7"/>
      <c r="B147" s="7"/>
      <c r="C147" s="7"/>
      <c r="D147" s="7"/>
      <c r="E147" s="7"/>
      <c r="F147" s="7"/>
      <c r="G147" s="7"/>
      <c r="H147" s="5"/>
      <c r="I147" s="8">
        <f>IF(E147="","",IF(OR(E147="kg",E147="g"),"g",IF(OR(E147="l",E147="ml"),"ml",IF(E147="un","un",""))))</f>
      </c>
      <c r="J147" s="9">
        <f>IFERROR(F147/IF(OR(E147="kg",E147="l"),D147*1000,D147),"")</f>
      </c>
      <c r="K147" s="5"/>
    </row>
    <row r="148" spans="1:11" x14ac:dyDescent="0.25">
      <c r="A148" s="7"/>
      <c r="B148" s="7"/>
      <c r="C148" s="7"/>
      <c r="D148" s="7"/>
      <c r="E148" s="7"/>
      <c r="F148" s="7"/>
      <c r="G148" s="7"/>
      <c r="H148" s="5"/>
      <c r="I148" s="8">
        <f>IF(E148="","",IF(OR(E148="kg",E148="g"),"g",IF(OR(E148="l",E148="ml"),"ml",IF(E148="un","un",""))))</f>
      </c>
      <c r="J148" s="9">
        <f>IFERROR(F148/IF(OR(E148="kg",E148="l"),D148*1000,D148),"")</f>
      </c>
      <c r="K148" s="5"/>
    </row>
    <row r="149" spans="1:11" x14ac:dyDescent="0.25">
      <c r="A149" s="7"/>
      <c r="B149" s="7"/>
      <c r="C149" s="7"/>
      <c r="D149" s="7"/>
      <c r="E149" s="7"/>
      <c r="F149" s="7"/>
      <c r="G149" s="7"/>
      <c r="H149" s="5"/>
      <c r="I149" s="8">
        <f>IF(E149="","",IF(OR(E149="kg",E149="g"),"g",IF(OR(E149="l",E149="ml"),"ml",IF(E149="un","un",""))))</f>
      </c>
      <c r="J149" s="9">
        <f>IFERROR(F149/IF(OR(E149="kg",E149="l"),D149*1000,D149),"")</f>
      </c>
      <c r="K149" s="5"/>
    </row>
    <row r="150" spans="1:11" x14ac:dyDescent="0.25">
      <c r="A150" s="7"/>
      <c r="B150" s="7"/>
      <c r="C150" s="7"/>
      <c r="D150" s="7"/>
      <c r="E150" s="7"/>
      <c r="F150" s="7"/>
      <c r="G150" s="7"/>
      <c r="H150" s="5"/>
      <c r="I150" s="8">
        <f>IF(E150="","",IF(OR(E150="kg",E150="g"),"g",IF(OR(E150="l",E150="ml"),"ml",IF(E150="un","un",""))))</f>
      </c>
      <c r="J150" s="9">
        <f>IFERROR(F150/IF(OR(E150="kg",E150="l"),D150*1000,D150),"")</f>
      </c>
      <c r="K150" s="5"/>
    </row>
    <row r="151" spans="1:11" x14ac:dyDescent="0.25">
      <c r="A151" s="7"/>
      <c r="B151" s="7"/>
      <c r="C151" s="7"/>
      <c r="D151" s="7"/>
      <c r="E151" s="7"/>
      <c r="F151" s="7"/>
      <c r="G151" s="7"/>
      <c r="H151" s="5"/>
      <c r="I151" s="8">
        <f>IF(E151="","",IF(OR(E151="kg",E151="g"),"g",IF(OR(E151="l",E151="ml"),"ml",IF(E151="un","un",""))))</f>
      </c>
      <c r="J151" s="9">
        <f>IFERROR(F151/IF(OR(E151="kg",E151="l"),D151*1000,D151),"")</f>
      </c>
      <c r="K151" s="5"/>
    </row>
    <row r="152" spans="1:11" x14ac:dyDescent="0.25">
      <c r="A152" s="7"/>
      <c r="B152" s="7"/>
      <c r="C152" s="7"/>
      <c r="D152" s="7"/>
      <c r="E152" s="7"/>
      <c r="F152" s="7"/>
      <c r="G152" s="7"/>
      <c r="H152" s="5"/>
      <c r="I152" s="8">
        <f>IF(E152="","",IF(OR(E152="kg",E152="g"),"g",IF(OR(E152="l",E152="ml"),"ml",IF(E152="un","un",""))))</f>
      </c>
      <c r="J152" s="9">
        <f>IFERROR(F152/IF(OR(E152="kg",E152="l"),D152*1000,D152),"")</f>
      </c>
      <c r="K152" s="5"/>
    </row>
    <row r="153" spans="1:11" x14ac:dyDescent="0.25">
      <c r="A153" s="7"/>
      <c r="B153" s="7"/>
      <c r="C153" s="7"/>
      <c r="D153" s="7"/>
      <c r="E153" s="7"/>
      <c r="F153" s="7"/>
      <c r="G153" s="7"/>
      <c r="H153" s="5"/>
      <c r="I153" s="8">
        <f>IF(E153="","",IF(OR(E153="kg",E153="g"),"g",IF(OR(E153="l",E153="ml"),"ml",IF(E153="un","un",""))))</f>
      </c>
      <c r="J153" s="9">
        <f>IFERROR(F153/IF(OR(E153="kg",E153="l"),D153*1000,D153),"")</f>
      </c>
      <c r="K153" s="5"/>
    </row>
    <row r="154" spans="1:11" x14ac:dyDescent="0.25">
      <c r="A154" s="7"/>
      <c r="B154" s="7"/>
      <c r="C154" s="7"/>
      <c r="D154" s="7"/>
      <c r="E154" s="7"/>
      <c r="F154" s="7"/>
      <c r="G154" s="7"/>
      <c r="H154" s="5"/>
      <c r="I154" s="8">
        <f>IF(E154="","",IF(OR(E154="kg",E154="g"),"g",IF(OR(E154="l",E154="ml"),"ml",IF(E154="un","un",""))))</f>
      </c>
      <c r="J154" s="9">
        <f>IFERROR(F154/IF(OR(E154="kg",E154="l"),D154*1000,D154),"")</f>
      </c>
      <c r="K154" s="5"/>
    </row>
    <row r="155" spans="1:11" x14ac:dyDescent="0.25">
      <c r="A155" s="7"/>
      <c r="B155" s="7"/>
      <c r="C155" s="7"/>
      <c r="D155" s="7"/>
      <c r="E155" s="7"/>
      <c r="F155" s="7"/>
      <c r="G155" s="7"/>
      <c r="H155" s="5"/>
      <c r="I155" s="8">
        <f>IF(E155="","",IF(OR(E155="kg",E155="g"),"g",IF(OR(E155="l",E155="ml"),"ml",IF(E155="un","un",""))))</f>
      </c>
      <c r="J155" s="9">
        <f>IFERROR(F155/IF(OR(E155="kg",E155="l"),D155*1000,D155),"")</f>
      </c>
      <c r="K155" s="5"/>
    </row>
    <row r="156" spans="1:11" x14ac:dyDescent="0.25">
      <c r="A156" s="7"/>
      <c r="B156" s="7"/>
      <c r="C156" s="7"/>
      <c r="D156" s="7"/>
      <c r="E156" s="7"/>
      <c r="F156" s="7"/>
      <c r="G156" s="7"/>
      <c r="H156" s="5"/>
      <c r="I156" s="8">
        <f>IF(E156="","",IF(OR(E156="kg",E156="g"),"g",IF(OR(E156="l",E156="ml"),"ml",IF(E156="un","un",""))))</f>
      </c>
      <c r="J156" s="9">
        <f>IFERROR(F156/IF(OR(E156="kg",E156="l"),D156*1000,D156),"")</f>
      </c>
      <c r="K156" s="5"/>
    </row>
    <row r="157" spans="1:11" x14ac:dyDescent="0.25">
      <c r="A157" s="7"/>
      <c r="B157" s="7"/>
      <c r="C157" s="7"/>
      <c r="D157" s="7"/>
      <c r="E157" s="7"/>
      <c r="F157" s="7"/>
      <c r="G157" s="7"/>
      <c r="H157" s="5"/>
      <c r="I157" s="8">
        <f>IF(E157="","",IF(OR(E157="kg",E157="g"),"g",IF(OR(E157="l",E157="ml"),"ml",IF(E157="un","un",""))))</f>
      </c>
      <c r="J157" s="9">
        <f>IFERROR(F157/IF(OR(E157="kg",E157="l"),D157*1000,D157),"")</f>
      </c>
      <c r="K157" s="5"/>
    </row>
    <row r="158" spans="1:11" x14ac:dyDescent="0.25">
      <c r="A158" s="7"/>
      <c r="B158" s="7"/>
      <c r="C158" s="7"/>
      <c r="D158" s="7"/>
      <c r="E158" s="7"/>
      <c r="F158" s="7"/>
      <c r="G158" s="7"/>
      <c r="H158" s="5"/>
      <c r="I158" s="8">
        <f>IF(E158="","",IF(OR(E158="kg",E158="g"),"g",IF(OR(E158="l",E158="ml"),"ml",IF(E158="un","un",""))))</f>
      </c>
      <c r="J158" s="9">
        <f>IFERROR(F158/IF(OR(E158="kg",E158="l"),D158*1000,D158),"")</f>
      </c>
      <c r="K158" s="5"/>
    </row>
    <row r="159" spans="1:11" x14ac:dyDescent="0.25">
      <c r="A159" s="7"/>
      <c r="B159" s="7"/>
      <c r="C159" s="7"/>
      <c r="D159" s="7"/>
      <c r="E159" s="7"/>
      <c r="F159" s="7"/>
      <c r="G159" s="7"/>
      <c r="H159" s="5"/>
      <c r="I159" s="8">
        <f>IF(E159="","",IF(OR(E159="kg",E159="g"),"g",IF(OR(E159="l",E159="ml"),"ml",IF(E159="un","un",""))))</f>
      </c>
      <c r="J159" s="9">
        <f>IFERROR(F159/IF(OR(E159="kg",E159="l"),D159*1000,D159),"")</f>
      </c>
      <c r="K159" s="5"/>
    </row>
    <row r="160" spans="1:11" x14ac:dyDescent="0.25">
      <c r="A160" s="7"/>
      <c r="B160" s="7"/>
      <c r="C160" s="7"/>
      <c r="D160" s="7"/>
      <c r="E160" s="7"/>
      <c r="F160" s="7"/>
      <c r="G160" s="7"/>
      <c r="H160" s="5"/>
      <c r="I160" s="8">
        <f>IF(E160="","",IF(OR(E160="kg",E160="g"),"g",IF(OR(E160="l",E160="ml"),"ml",IF(E160="un","un",""))))</f>
      </c>
      <c r="J160" s="9">
        <f>IFERROR(F160/IF(OR(E160="kg",E160="l"),D160*1000,D160),"")</f>
      </c>
      <c r="K160" s="5"/>
    </row>
    <row r="161" spans="1:11" x14ac:dyDescent="0.25">
      <c r="A161" s="7"/>
      <c r="B161" s="7"/>
      <c r="C161" s="7"/>
      <c r="D161" s="7"/>
      <c r="E161" s="7"/>
      <c r="F161" s="7"/>
      <c r="G161" s="7"/>
      <c r="H161" s="5"/>
      <c r="I161" s="8">
        <f>IF(E161="","",IF(OR(E161="kg",E161="g"),"g",IF(OR(E161="l",E161="ml"),"ml",IF(E161="un","un",""))))</f>
      </c>
      <c r="J161" s="9">
        <f>IFERROR(F161/IF(OR(E161="kg",E161="l"),D161*1000,D161),"")</f>
      </c>
      <c r="K161" s="5"/>
    </row>
    <row r="162" spans="1:11" x14ac:dyDescent="0.25">
      <c r="A162" s="7"/>
      <c r="B162" s="7"/>
      <c r="C162" s="7"/>
      <c r="D162" s="7"/>
      <c r="E162" s="7"/>
      <c r="F162" s="7"/>
      <c r="G162" s="7"/>
      <c r="H162" s="5"/>
      <c r="I162" s="8">
        <f>IF(E162="","",IF(OR(E162="kg",E162="g"),"g",IF(OR(E162="l",E162="ml"),"ml",IF(E162="un","un",""))))</f>
      </c>
      <c r="J162" s="9">
        <f>IFERROR(F162/IF(OR(E162="kg",E162="l"),D162*1000,D162),"")</f>
      </c>
      <c r="K162" s="5"/>
    </row>
    <row r="163" spans="1:11" x14ac:dyDescent="0.25">
      <c r="A163" s="7"/>
      <c r="B163" s="7"/>
      <c r="C163" s="7"/>
      <c r="D163" s="7"/>
      <c r="E163" s="7"/>
      <c r="F163" s="7"/>
      <c r="G163" s="7"/>
      <c r="H163" s="5"/>
      <c r="I163" s="8">
        <f>IF(E163="","",IF(OR(E163="kg",E163="g"),"g",IF(OR(E163="l",E163="ml"),"ml",IF(E163="un","un",""))))</f>
      </c>
      <c r="J163" s="9">
        <f>IFERROR(F163/IF(OR(E163="kg",E163="l"),D163*1000,D163),"")</f>
      </c>
      <c r="K163" s="5"/>
    </row>
    <row r="164" spans="1:11" x14ac:dyDescent="0.25">
      <c r="A164" s="7"/>
      <c r="B164" s="7"/>
      <c r="C164" s="7"/>
      <c r="D164" s="7"/>
      <c r="E164" s="7"/>
      <c r="F164" s="7"/>
      <c r="G164" s="7"/>
      <c r="H164" s="5"/>
      <c r="I164" s="8">
        <f>IF(E164="","",IF(OR(E164="kg",E164="g"),"g",IF(OR(E164="l",E164="ml"),"ml",IF(E164="un","un",""))))</f>
      </c>
      <c r="J164" s="9">
        <f>IFERROR(F164/IF(OR(E164="kg",E164="l"),D164*1000,D164),"")</f>
      </c>
      <c r="K164" s="5"/>
    </row>
    <row r="165" spans="1:11" x14ac:dyDescent="0.25">
      <c r="A165" s="7"/>
      <c r="B165" s="7"/>
      <c r="C165" s="7"/>
      <c r="D165" s="7"/>
      <c r="E165" s="7"/>
      <c r="F165" s="7"/>
      <c r="G165" s="7"/>
      <c r="H165" s="5"/>
      <c r="I165" s="8">
        <f>IF(E165="","",IF(OR(E165="kg",E165="g"),"g",IF(OR(E165="l",E165="ml"),"ml",IF(E165="un","un",""))))</f>
      </c>
      <c r="J165" s="9">
        <f>IFERROR(F165/IF(OR(E165="kg",E165="l"),D165*1000,D165),"")</f>
      </c>
      <c r="K165" s="5"/>
    </row>
    <row r="166" spans="1:11" x14ac:dyDescent="0.25">
      <c r="A166" s="7"/>
      <c r="B166" s="7"/>
      <c r="C166" s="7"/>
      <c r="D166" s="7"/>
      <c r="E166" s="7"/>
      <c r="F166" s="7"/>
      <c r="G166" s="7"/>
      <c r="H166" s="5"/>
      <c r="I166" s="8">
        <f>IF(E166="","",IF(OR(E166="kg",E166="g"),"g",IF(OR(E166="l",E166="ml"),"ml",IF(E166="un","un",""))))</f>
      </c>
      <c r="J166" s="9">
        <f>IFERROR(F166/IF(OR(E166="kg",E166="l"),D166*1000,D166),"")</f>
      </c>
      <c r="K166" s="5"/>
    </row>
    <row r="167" spans="1:11" x14ac:dyDescent="0.25">
      <c r="A167" s="7"/>
      <c r="B167" s="7"/>
      <c r="C167" s="7"/>
      <c r="D167" s="7"/>
      <c r="E167" s="7"/>
      <c r="F167" s="7"/>
      <c r="G167" s="7"/>
      <c r="H167" s="5"/>
      <c r="I167" s="8">
        <f>IF(E167="","",IF(OR(E167="kg",E167="g"),"g",IF(OR(E167="l",E167="ml"),"ml",IF(E167="un","un",""))))</f>
      </c>
      <c r="J167" s="9">
        <f>IFERROR(F167/IF(OR(E167="kg",E167="l"),D167*1000,D167),"")</f>
      </c>
      <c r="K167" s="5"/>
    </row>
    <row r="168" spans="1:11" x14ac:dyDescent="0.25">
      <c r="A168" s="7"/>
      <c r="B168" s="7"/>
      <c r="C168" s="7"/>
      <c r="D168" s="7"/>
      <c r="E168" s="7"/>
      <c r="F168" s="7"/>
      <c r="G168" s="7"/>
      <c r="H168" s="5"/>
      <c r="I168" s="8">
        <f>IF(E168="","",IF(OR(E168="kg",E168="g"),"g",IF(OR(E168="l",E168="ml"),"ml",IF(E168="un","un",""))))</f>
      </c>
      <c r="J168" s="9">
        <f>IFERROR(F168/IF(OR(E168="kg",E168="l"),D168*1000,D168),"")</f>
      </c>
      <c r="K168" s="5"/>
    </row>
    <row r="169" spans="1:11" x14ac:dyDescent="0.25">
      <c r="A169" s="7"/>
      <c r="B169" s="7"/>
      <c r="C169" s="7"/>
      <c r="D169" s="7"/>
      <c r="E169" s="7"/>
      <c r="F169" s="7"/>
      <c r="G169" s="7"/>
      <c r="H169" s="5"/>
      <c r="I169" s="8">
        <f>IF(E169="","",IF(OR(E169="kg",E169="g"),"g",IF(OR(E169="l",E169="ml"),"ml",IF(E169="un","un",""))))</f>
      </c>
      <c r="J169" s="9">
        <f>IFERROR(F169/IF(OR(E169="kg",E169="l"),D169*1000,D169),"")</f>
      </c>
      <c r="K169" s="5"/>
    </row>
    <row r="170" spans="1:11" x14ac:dyDescent="0.25">
      <c r="A170" s="7"/>
      <c r="B170" s="7"/>
      <c r="C170" s="7"/>
      <c r="D170" s="7"/>
      <c r="E170" s="7"/>
      <c r="F170" s="7"/>
      <c r="G170" s="7"/>
      <c r="H170" s="5"/>
      <c r="I170" s="8">
        <f>IF(E170="","",IF(OR(E170="kg",E170="g"),"g",IF(OR(E170="l",E170="ml"),"ml",IF(E170="un","un",""))))</f>
      </c>
      <c r="J170" s="9">
        <f>IFERROR(F170/IF(OR(E170="kg",E170="l"),D170*1000,D170),"")</f>
      </c>
      <c r="K170" s="5"/>
    </row>
    <row r="171" spans="1:11" x14ac:dyDescent="0.25">
      <c r="A171" s="7"/>
      <c r="B171" s="7"/>
      <c r="C171" s="7"/>
      <c r="D171" s="7"/>
      <c r="E171" s="7"/>
      <c r="F171" s="7"/>
      <c r="G171" s="7"/>
      <c r="H171" s="5"/>
      <c r="I171" s="8">
        <f>IF(E171="","",IF(OR(E171="kg",E171="g"),"g",IF(OR(E171="l",E171="ml"),"ml",IF(E171="un","un",""))))</f>
      </c>
      <c r="J171" s="9">
        <f>IFERROR(F171/IF(OR(E171="kg",E171="l"),D171*1000,D171),"")</f>
      </c>
      <c r="K171" s="5"/>
    </row>
    <row r="172" spans="1:11" x14ac:dyDescent="0.25">
      <c r="A172" s="7"/>
      <c r="B172" s="7"/>
      <c r="C172" s="7"/>
      <c r="D172" s="7"/>
      <c r="E172" s="7"/>
      <c r="F172" s="7"/>
      <c r="G172" s="7"/>
      <c r="H172" s="5"/>
      <c r="I172" s="8">
        <f>IF(E172="","",IF(OR(E172="kg",E172="g"),"g",IF(OR(E172="l",E172="ml"),"ml",IF(E172="un","un",""))))</f>
      </c>
      <c r="J172" s="9">
        <f>IFERROR(F172/IF(OR(E172="kg",E172="l"),D172*1000,D172),"")</f>
      </c>
      <c r="K172" s="5"/>
    </row>
    <row r="173" spans="1:11" x14ac:dyDescent="0.25">
      <c r="A173" s="7"/>
      <c r="B173" s="7"/>
      <c r="C173" s="7"/>
      <c r="D173" s="7"/>
      <c r="E173" s="7"/>
      <c r="F173" s="7"/>
      <c r="G173" s="7"/>
      <c r="H173" s="5"/>
      <c r="I173" s="8">
        <f>IF(E173="","",IF(OR(E173="kg",E173="g"),"g",IF(OR(E173="l",E173="ml"),"ml",IF(E173="un","un",""))))</f>
      </c>
      <c r="J173" s="9">
        <f>IFERROR(F173/IF(OR(E173="kg",E173="l"),D173*1000,D173),"")</f>
      </c>
      <c r="K173" s="5"/>
    </row>
    <row r="174" spans="1:11" x14ac:dyDescent="0.25">
      <c r="A174" s="7"/>
      <c r="B174" s="7"/>
      <c r="C174" s="7"/>
      <c r="D174" s="7"/>
      <c r="E174" s="7"/>
      <c r="F174" s="7"/>
      <c r="G174" s="7"/>
      <c r="H174" s="5"/>
      <c r="I174" s="8">
        <f>IF(E174="","",IF(OR(E174="kg",E174="g"),"g",IF(OR(E174="l",E174="ml"),"ml",IF(E174="un","un",""))))</f>
      </c>
      <c r="J174" s="9">
        <f>IFERROR(F174/IF(OR(E174="kg",E174="l"),D174*1000,D174),"")</f>
      </c>
      <c r="K174" s="5"/>
    </row>
    <row r="175" spans="1:11" x14ac:dyDescent="0.25">
      <c r="A175" s="7"/>
      <c r="B175" s="7"/>
      <c r="C175" s="7"/>
      <c r="D175" s="7"/>
      <c r="E175" s="7"/>
      <c r="F175" s="7"/>
      <c r="G175" s="7"/>
      <c r="H175" s="5"/>
      <c r="I175" s="8">
        <f>IF(E175="","",IF(OR(E175="kg",E175="g"),"g",IF(OR(E175="l",E175="ml"),"ml",IF(E175="un","un",""))))</f>
      </c>
      <c r="J175" s="9">
        <f>IFERROR(F175/IF(OR(E175="kg",E175="l"),D175*1000,D175),"")</f>
      </c>
      <c r="K175" s="5"/>
    </row>
    <row r="176" spans="1:11" x14ac:dyDescent="0.25">
      <c r="A176" s="7"/>
      <c r="B176" s="7"/>
      <c r="C176" s="7"/>
      <c r="D176" s="7"/>
      <c r="E176" s="7"/>
      <c r="F176" s="7"/>
      <c r="G176" s="7"/>
      <c r="H176" s="5"/>
      <c r="I176" s="8">
        <f>IF(E176="","",IF(OR(E176="kg",E176="g"),"g",IF(OR(E176="l",E176="ml"),"ml",IF(E176="un","un",""))))</f>
      </c>
      <c r="J176" s="9">
        <f>IFERROR(F176/IF(OR(E176="kg",E176="l"),D176*1000,D176),"")</f>
      </c>
      <c r="K176" s="5"/>
    </row>
    <row r="177" spans="1:11" x14ac:dyDescent="0.25">
      <c r="A177" s="7"/>
      <c r="B177" s="7"/>
      <c r="C177" s="7"/>
      <c r="D177" s="7"/>
      <c r="E177" s="7"/>
      <c r="F177" s="7"/>
      <c r="G177" s="7"/>
      <c r="H177" s="5"/>
      <c r="I177" s="8">
        <f>IF(E177="","",IF(OR(E177="kg",E177="g"),"g",IF(OR(E177="l",E177="ml"),"ml",IF(E177="un","un",""))))</f>
      </c>
      <c r="J177" s="9">
        <f>IFERROR(F177/IF(OR(E177="kg",E177="l"),D177*1000,D177),"")</f>
      </c>
      <c r="K177" s="5"/>
    </row>
    <row r="178" spans="1:11" x14ac:dyDescent="0.25">
      <c r="A178" s="7"/>
      <c r="B178" s="7"/>
      <c r="C178" s="7"/>
      <c r="D178" s="7"/>
      <c r="E178" s="7"/>
      <c r="F178" s="7"/>
      <c r="G178" s="7"/>
      <c r="H178" s="5"/>
      <c r="I178" s="8">
        <f>IF(E178="","",IF(OR(E178="kg",E178="g"),"g",IF(OR(E178="l",E178="ml"),"ml",IF(E178="un","un",""))))</f>
      </c>
      <c r="J178" s="9">
        <f>IFERROR(F178/IF(OR(E178="kg",E178="l"),D178*1000,D178),"")</f>
      </c>
      <c r="K178" s="5"/>
    </row>
    <row r="179" spans="1:11" x14ac:dyDescent="0.25">
      <c r="A179" s="7"/>
      <c r="B179" s="7"/>
      <c r="C179" s="7"/>
      <c r="D179" s="7"/>
      <c r="E179" s="7"/>
      <c r="F179" s="7"/>
      <c r="G179" s="7"/>
      <c r="H179" s="5"/>
      <c r="I179" s="8">
        <f>IF(E179="","",IF(OR(E179="kg",E179="g"),"g",IF(OR(E179="l",E179="ml"),"ml",IF(E179="un","un",""))))</f>
      </c>
      <c r="J179" s="9">
        <f>IFERROR(F179/IF(OR(E179="kg",E179="l"),D179*1000,D179),"")</f>
      </c>
      <c r="K179" s="5"/>
    </row>
    <row r="180" spans="1:11" x14ac:dyDescent="0.25">
      <c r="A180" s="7"/>
      <c r="B180" s="7"/>
      <c r="C180" s="7"/>
      <c r="D180" s="7"/>
      <c r="E180" s="7"/>
      <c r="F180" s="7"/>
      <c r="G180" s="7"/>
      <c r="H180" s="5"/>
      <c r="I180" s="8">
        <f>IF(E180="","",IF(OR(E180="kg",E180="g"),"g",IF(OR(E180="l",E180="ml"),"ml",IF(E180="un","un",""))))</f>
      </c>
      <c r="J180" s="9">
        <f>IFERROR(F180/IF(OR(E180="kg",E180="l"),D180*1000,D180),"")</f>
      </c>
      <c r="K180" s="5"/>
    </row>
    <row r="181" spans="1:11" x14ac:dyDescent="0.25">
      <c r="A181" s="7"/>
      <c r="B181" s="7"/>
      <c r="C181" s="7"/>
      <c r="D181" s="7"/>
      <c r="E181" s="7"/>
      <c r="F181" s="7"/>
      <c r="G181" s="7"/>
      <c r="H181" s="5"/>
      <c r="I181" s="8">
        <f>IF(E181="","",IF(OR(E181="kg",E181="g"),"g",IF(OR(E181="l",E181="ml"),"ml",IF(E181="un","un",""))))</f>
      </c>
      <c r="J181" s="9">
        <f>IFERROR(F181/IF(OR(E181="kg",E181="l"),D181*1000,D181),"")</f>
      </c>
      <c r="K181" s="5"/>
    </row>
    <row r="182" spans="1:11" x14ac:dyDescent="0.25">
      <c r="A182" s="7"/>
      <c r="B182" s="7"/>
      <c r="C182" s="7"/>
      <c r="D182" s="7"/>
      <c r="E182" s="7"/>
      <c r="F182" s="7"/>
      <c r="G182" s="7"/>
      <c r="H182" s="5"/>
      <c r="I182" s="8">
        <f>IF(E182="","",IF(OR(E182="kg",E182="g"),"g",IF(OR(E182="l",E182="ml"),"ml",IF(E182="un","un",""))))</f>
      </c>
      <c r="J182" s="9">
        <f>IFERROR(F182/IF(OR(E182="kg",E182="l"),D182*1000,D182),"")</f>
      </c>
      <c r="K182" s="5"/>
    </row>
    <row r="183" spans="1:11" x14ac:dyDescent="0.25">
      <c r="A183" s="7"/>
      <c r="B183" s="7"/>
      <c r="C183" s="7"/>
      <c r="D183" s="7"/>
      <c r="E183" s="7"/>
      <c r="F183" s="7"/>
      <c r="G183" s="7"/>
      <c r="H183" s="5"/>
      <c r="I183" s="8">
        <f>IF(E183="","",IF(OR(E183="kg",E183="g"),"g",IF(OR(E183="l",E183="ml"),"ml",IF(E183="un","un",""))))</f>
      </c>
      <c r="J183" s="9">
        <f>IFERROR(F183/IF(OR(E183="kg",E183="l"),D183*1000,D183),"")</f>
      </c>
      <c r="K183" s="5"/>
    </row>
    <row r="184" spans="1:11" x14ac:dyDescent="0.25">
      <c r="A184" s="7"/>
      <c r="B184" s="7"/>
      <c r="C184" s="7"/>
      <c r="D184" s="7"/>
      <c r="E184" s="7"/>
      <c r="F184" s="7"/>
      <c r="G184" s="7"/>
      <c r="H184" s="5"/>
      <c r="I184" s="8">
        <f>IF(E184="","",IF(OR(E184="kg",E184="g"),"g",IF(OR(E184="l",E184="ml"),"ml",IF(E184="un","un",""))))</f>
      </c>
      <c r="J184" s="9">
        <f>IFERROR(F184/IF(OR(E184="kg",E184="l"),D184*1000,D184),"")</f>
      </c>
      <c r="K184" s="5"/>
    </row>
    <row r="185" spans="1:11" x14ac:dyDescent="0.25">
      <c r="A185" s="7"/>
      <c r="B185" s="7"/>
      <c r="C185" s="7"/>
      <c r="D185" s="7"/>
      <c r="E185" s="7"/>
      <c r="F185" s="7"/>
      <c r="G185" s="7"/>
      <c r="H185" s="5"/>
      <c r="I185" s="8">
        <f>IF(E185="","",IF(OR(E185="kg",E185="g"),"g",IF(OR(E185="l",E185="ml"),"ml",IF(E185="un","un",""))))</f>
      </c>
      <c r="J185" s="9">
        <f>IFERROR(F185/IF(OR(E185="kg",E185="l"),D185*1000,D185),"")</f>
      </c>
      <c r="K185" s="5"/>
    </row>
    <row r="186" spans="1:11" x14ac:dyDescent="0.25">
      <c r="A186" s="7"/>
      <c r="B186" s="7"/>
      <c r="C186" s="7"/>
      <c r="D186" s="7"/>
      <c r="E186" s="7"/>
      <c r="F186" s="7"/>
      <c r="G186" s="7"/>
      <c r="H186" s="5"/>
      <c r="I186" s="8">
        <f>IF(E186="","",IF(OR(E186="kg",E186="g"),"g",IF(OR(E186="l",E186="ml"),"ml",IF(E186="un","un",""))))</f>
      </c>
      <c r="J186" s="9">
        <f>IFERROR(F186/IF(OR(E186="kg",E186="l"),D186*1000,D186),"")</f>
      </c>
      <c r="K186" s="5"/>
    </row>
    <row r="187" spans="1:11" x14ac:dyDescent="0.25">
      <c r="A187" s="7"/>
      <c r="B187" s="7"/>
      <c r="C187" s="7"/>
      <c r="D187" s="7"/>
      <c r="E187" s="7"/>
      <c r="F187" s="7"/>
      <c r="G187" s="7"/>
      <c r="H187" s="5"/>
      <c r="I187" s="8">
        <f>IF(E187="","",IF(OR(E187="kg",E187="g"),"g",IF(OR(E187="l",E187="ml"),"ml",IF(E187="un","un",""))))</f>
      </c>
      <c r="J187" s="9">
        <f>IFERROR(F187/IF(OR(E187="kg",E187="l"),D187*1000,D187),"")</f>
      </c>
      <c r="K187" s="5"/>
    </row>
    <row r="188" spans="1:11" x14ac:dyDescent="0.25">
      <c r="A188" s="7"/>
      <c r="B188" s="7"/>
      <c r="C188" s="7"/>
      <c r="D188" s="7"/>
      <c r="E188" s="7"/>
      <c r="F188" s="7"/>
      <c r="G188" s="7"/>
      <c r="H188" s="5"/>
      <c r="I188" s="8">
        <f>IF(E188="","",IF(OR(E188="kg",E188="g"),"g",IF(OR(E188="l",E188="ml"),"ml",IF(E188="un","un",""))))</f>
      </c>
      <c r="J188" s="9">
        <f>IFERROR(F188/IF(OR(E188="kg",E188="l"),D188*1000,D188),"")</f>
      </c>
      <c r="K188" s="5"/>
    </row>
    <row r="189" spans="1:11" x14ac:dyDescent="0.25">
      <c r="A189" s="7"/>
      <c r="B189" s="7"/>
      <c r="C189" s="7"/>
      <c r="D189" s="7"/>
      <c r="E189" s="7"/>
      <c r="F189" s="7"/>
      <c r="G189" s="7"/>
      <c r="H189" s="5"/>
      <c r="I189" s="8">
        <f>IF(E189="","",IF(OR(E189="kg",E189="g"),"g",IF(OR(E189="l",E189="ml"),"ml",IF(E189="un","un",""))))</f>
      </c>
      <c r="J189" s="9">
        <f>IFERROR(F189/IF(OR(E189="kg",E189="l"),D189*1000,D189),"")</f>
      </c>
      <c r="K189" s="5"/>
    </row>
    <row r="190" spans="1:11" x14ac:dyDescent="0.25">
      <c r="A190" s="7"/>
      <c r="B190" s="7"/>
      <c r="C190" s="7"/>
      <c r="D190" s="7"/>
      <c r="E190" s="7"/>
      <c r="F190" s="7"/>
      <c r="G190" s="7"/>
      <c r="H190" s="5"/>
      <c r="I190" s="8">
        <f>IF(E190="","",IF(OR(E190="kg",E190="g"),"g",IF(OR(E190="l",E190="ml"),"ml",IF(E190="un","un",""))))</f>
      </c>
      <c r="J190" s="9">
        <f>IFERROR(F190/IF(OR(E190="kg",E190="l"),D190*1000,D190),"")</f>
      </c>
      <c r="K190" s="5"/>
    </row>
    <row r="191" spans="1:11" x14ac:dyDescent="0.25">
      <c r="A191" s="7"/>
      <c r="B191" s="7"/>
      <c r="C191" s="7"/>
      <c r="D191" s="7"/>
      <c r="E191" s="7"/>
      <c r="F191" s="7"/>
      <c r="G191" s="7"/>
      <c r="H191" s="5"/>
      <c r="I191" s="8">
        <f>IF(E191="","",IF(OR(E191="kg",E191="g"),"g",IF(OR(E191="l",E191="ml"),"ml",IF(E191="un","un",""))))</f>
      </c>
      <c r="J191" s="9">
        <f>IFERROR(F191/IF(OR(E191="kg",E191="l"),D191*1000,D191),"")</f>
      </c>
      <c r="K191" s="5"/>
    </row>
    <row r="192" spans="1:11" x14ac:dyDescent="0.25">
      <c r="A192" s="7"/>
      <c r="B192" s="7"/>
      <c r="C192" s="7"/>
      <c r="D192" s="7"/>
      <c r="E192" s="7"/>
      <c r="F192" s="7"/>
      <c r="G192" s="7"/>
      <c r="H192" s="5"/>
      <c r="I192" s="8">
        <f>IF(E192="","",IF(OR(E192="kg",E192="g"),"g",IF(OR(E192="l",E192="ml"),"ml",IF(E192="un","un",""))))</f>
      </c>
      <c r="J192" s="9">
        <f>IFERROR(F192/IF(OR(E192="kg",E192="l"),D192*1000,D192),"")</f>
      </c>
      <c r="K192" s="5"/>
    </row>
    <row r="193" spans="1:11" x14ac:dyDescent="0.25">
      <c r="A193" s="7"/>
      <c r="B193" s="7"/>
      <c r="C193" s="7"/>
      <c r="D193" s="7"/>
      <c r="E193" s="7"/>
      <c r="F193" s="7"/>
      <c r="G193" s="7"/>
      <c r="H193" s="5"/>
      <c r="I193" s="8">
        <f>IF(E193="","",IF(OR(E193="kg",E193="g"),"g",IF(OR(E193="l",E193="ml"),"ml",IF(E193="un","un",""))))</f>
      </c>
      <c r="J193" s="9">
        <f>IFERROR(F193/IF(OR(E193="kg",E193="l"),D193*1000,D193),"")</f>
      </c>
      <c r="K193" s="5"/>
    </row>
    <row r="194" spans="1:11" x14ac:dyDescent="0.25">
      <c r="A194" s="7"/>
      <c r="B194" s="7"/>
      <c r="C194" s="7"/>
      <c r="D194" s="7"/>
      <c r="E194" s="7"/>
      <c r="F194" s="7"/>
      <c r="G194" s="7"/>
      <c r="H194" s="5"/>
      <c r="I194" s="8">
        <f>IF(E194="","",IF(OR(E194="kg",E194="g"),"g",IF(OR(E194="l",E194="ml"),"ml",IF(E194="un","un",""))))</f>
      </c>
      <c r="J194" s="9">
        <f>IFERROR(F194/IF(OR(E194="kg",E194="l"),D194*1000,D194),"")</f>
      </c>
      <c r="K194" s="5"/>
    </row>
    <row r="195" spans="1:11" x14ac:dyDescent="0.25">
      <c r="A195" s="7"/>
      <c r="B195" s="7"/>
      <c r="C195" s="7"/>
      <c r="D195" s="7"/>
      <c r="E195" s="7"/>
      <c r="F195" s="7"/>
      <c r="G195" s="7"/>
      <c r="H195" s="5"/>
      <c r="I195" s="8">
        <f>IF(E195="","",IF(OR(E195="kg",E195="g"),"g",IF(OR(E195="l",E195="ml"),"ml",IF(E195="un","un",""))))</f>
      </c>
      <c r="J195" s="9">
        <f>IFERROR(F195/IF(OR(E195="kg",E195="l"),D195*1000,D195),"")</f>
      </c>
      <c r="K195" s="5"/>
    </row>
    <row r="196" spans="1:11" x14ac:dyDescent="0.25">
      <c r="A196" s="7"/>
      <c r="B196" s="7"/>
      <c r="C196" s="7"/>
      <c r="D196" s="7"/>
      <c r="E196" s="7"/>
      <c r="F196" s="7"/>
      <c r="G196" s="7"/>
      <c r="H196" s="5"/>
      <c r="I196" s="8">
        <f>IF(E196="","",IF(OR(E196="kg",E196="g"),"g",IF(OR(E196="l",E196="ml"),"ml",IF(E196="un","un",""))))</f>
      </c>
      <c r="J196" s="9">
        <f>IFERROR(F196/IF(OR(E196="kg",E196="l"),D196*1000,D196),"")</f>
      </c>
      <c r="K196" s="5"/>
    </row>
    <row r="197" spans="1:11" x14ac:dyDescent="0.25">
      <c r="A197" s="7"/>
      <c r="B197" s="7"/>
      <c r="C197" s="7"/>
      <c r="D197" s="7"/>
      <c r="E197" s="7"/>
      <c r="F197" s="7"/>
      <c r="G197" s="7"/>
      <c r="H197" s="5"/>
      <c r="I197" s="8">
        <f>IF(E197="","",IF(OR(E197="kg",E197="g"),"g",IF(OR(E197="l",E197="ml"),"ml",IF(E197="un","un",""))))</f>
      </c>
      <c r="J197" s="9">
        <f>IFERROR(F197/IF(OR(E197="kg",E197="l"),D197*1000,D197),"")</f>
      </c>
      <c r="K197" s="5"/>
    </row>
    <row r="198" spans="1:11" x14ac:dyDescent="0.25">
      <c r="A198" s="7"/>
      <c r="B198" s="7"/>
      <c r="C198" s="7"/>
      <c r="D198" s="7"/>
      <c r="E198" s="7"/>
      <c r="F198" s="7"/>
      <c r="G198" s="7"/>
      <c r="H198" s="5"/>
      <c r="I198" s="8">
        <f>IF(E198="","",IF(OR(E198="kg",E198="g"),"g",IF(OR(E198="l",E198="ml"),"ml",IF(E198="un","un",""))))</f>
      </c>
      <c r="J198" s="9">
        <f>IFERROR(F198/IF(OR(E198="kg",E198="l"),D198*1000,D198),"")</f>
      </c>
      <c r="K198" s="5"/>
    </row>
    <row r="199" spans="1:11" x14ac:dyDescent="0.25">
      <c r="A199" s="7"/>
      <c r="B199" s="7"/>
      <c r="C199" s="7"/>
      <c r="D199" s="7"/>
      <c r="E199" s="7"/>
      <c r="F199" s="7"/>
      <c r="G199" s="7"/>
      <c r="H199" s="5"/>
      <c r="I199" s="8">
        <f>IF(E199="","",IF(OR(E199="kg",E199="g"),"g",IF(OR(E199="l",E199="ml"),"ml",IF(E199="un","un",""))))</f>
      </c>
      <c r="J199" s="9">
        <f>IFERROR(F199/IF(OR(E199="kg",E199="l"),D199*1000,D199),"")</f>
      </c>
      <c r="K199" s="5"/>
    </row>
    <row r="200" spans="1:11" x14ac:dyDescent="0.25">
      <c r="A200" s="7"/>
      <c r="B200" s="7"/>
      <c r="C200" s="7"/>
      <c r="D200" s="7"/>
      <c r="E200" s="7"/>
      <c r="F200" s="7"/>
      <c r="G200" s="7"/>
      <c r="H200" s="5"/>
      <c r="I200" s="8">
        <f>IF(E200="","",IF(OR(E200="kg",E200="g"),"g",IF(OR(E200="l",E200="ml"),"ml",IF(E200="un","un",""))))</f>
      </c>
      <c r="J200" s="9">
        <f>IFERROR(F200/IF(OR(E200="kg",E200="l"),D200*1000,D200),"")</f>
      </c>
      <c r="K200" s="5"/>
    </row>
    <row r="201" spans="1:11" x14ac:dyDescent="0.25">
      <c r="A201" s="7"/>
      <c r="B201" s="7"/>
      <c r="C201" s="7"/>
      <c r="D201" s="7"/>
      <c r="E201" s="7"/>
      <c r="F201" s="7"/>
      <c r="G201" s="7"/>
      <c r="H201" s="5"/>
      <c r="I201" s="8">
        <f>IF(E201="","",IF(OR(E201="kg",E201="g"),"g",IF(OR(E201="l",E201="ml"),"ml",IF(E201="un","un",""))))</f>
      </c>
      <c r="J201" s="9">
        <f>IFERROR(F201/IF(OR(E201="kg",E201="l"),D201*1000,D201),"")</f>
      </c>
      <c r="K201" s="5"/>
    </row>
    <row r="202" spans="1:11" x14ac:dyDescent="0.25">
      <c r="A202" s="7"/>
      <c r="B202" s="7"/>
      <c r="C202" s="7"/>
      <c r="D202" s="7"/>
      <c r="E202" s="7"/>
      <c r="F202" s="7"/>
      <c r="G202" s="7"/>
      <c r="H202" s="5"/>
      <c r="I202" s="8">
        <f>IF(E202="","",IF(OR(E202="kg",E202="g"),"g",IF(OR(E202="l",E202="ml"),"ml",IF(E202="un","un",""))))</f>
      </c>
      <c r="J202" s="9">
        <f>IFERROR(F202/IF(OR(E202="kg",E202="l"),D202*1000,D202),"")</f>
      </c>
      <c r="K202" s="5"/>
    </row>
    <row r="203" spans="1:11" x14ac:dyDescent="0.25">
      <c r="A203" s="7"/>
      <c r="B203" s="7"/>
      <c r="C203" s="7"/>
      <c r="D203" s="7"/>
      <c r="E203" s="7"/>
      <c r="F203" s="7"/>
      <c r="G203" s="7"/>
      <c r="H203" s="5"/>
      <c r="I203" s="8">
        <f>IF(E203="","",IF(OR(E203="kg",E203="g"),"g",IF(OR(E203="l",E203="ml"),"ml",IF(E203="un","un",""))))</f>
      </c>
      <c r="J203" s="9">
        <f>IFERROR(F203/IF(OR(E203="kg",E203="l"),D203*1000,D203),"")</f>
      </c>
      <c r="K203" s="5"/>
    </row>
    <row r="204" spans="1:11" x14ac:dyDescent="0.25">
      <c r="A204" s="7"/>
      <c r="B204" s="7"/>
      <c r="C204" s="7"/>
      <c r="D204" s="7"/>
      <c r="E204" s="7"/>
      <c r="F204" s="7"/>
      <c r="G204" s="7"/>
      <c r="H204" s="5"/>
      <c r="I204" s="8">
        <f>IF(E204="","",IF(OR(E204="kg",E204="g"),"g",IF(OR(E204="l",E204="ml"),"ml",IF(E204="un","un",""))))</f>
      </c>
      <c r="J204" s="9">
        <f>IFERROR(F204/IF(OR(E204="kg",E204="l"),D204*1000,D204),"")</f>
      </c>
      <c r="K204" s="5"/>
    </row>
    <row r="205" spans="1:11" x14ac:dyDescent="0.25">
      <c r="A205" s="7"/>
      <c r="B205" s="7"/>
      <c r="C205" s="7"/>
      <c r="D205" s="7"/>
      <c r="E205" s="7"/>
      <c r="F205" s="7"/>
      <c r="G205" s="7"/>
      <c r="H205" s="5"/>
      <c r="I205" s="8">
        <f>IF(E205="","",IF(OR(E205="kg",E205="g"),"g",IF(OR(E205="l",E205="ml"),"ml",IF(E205="un","un",""))))</f>
      </c>
      <c r="J205" s="9">
        <f>IFERROR(F205/IF(OR(E205="kg",E205="l"),D205*1000,D205),"")</f>
      </c>
      <c r="K205" s="5"/>
    </row>
    <row r="206" spans="1:11" x14ac:dyDescent="0.25">
      <c r="A206" s="7"/>
      <c r="B206" s="7"/>
      <c r="C206" s="7"/>
      <c r="D206" s="7"/>
      <c r="E206" s="7"/>
      <c r="F206" s="7"/>
      <c r="G206" s="7"/>
      <c r="H206" s="5"/>
      <c r="I206" s="8">
        <f>IF(E206="","",IF(OR(E206="kg",E206="g"),"g",IF(OR(E206="l",E206="ml"),"ml",IF(E206="un","un",""))))</f>
      </c>
      <c r="J206" s="9">
        <f>IFERROR(F206/IF(OR(E206="kg",E206="l"),D206*1000,D206),"")</f>
      </c>
      <c r="K206" s="5"/>
    </row>
    <row r="207" spans="1:11" x14ac:dyDescent="0.25">
      <c r="A207" s="7"/>
      <c r="B207" s="7"/>
      <c r="C207" s="7"/>
      <c r="D207" s="7"/>
      <c r="E207" s="7"/>
      <c r="F207" s="7"/>
      <c r="G207" s="7"/>
      <c r="H207" s="5"/>
      <c r="I207" s="8">
        <f>IF(E207="","",IF(OR(E207="kg",E207="g"),"g",IF(OR(E207="l",E207="ml"),"ml",IF(E207="un","un",""))))</f>
      </c>
      <c r="J207" s="9">
        <f>IFERROR(F207/IF(OR(E207="kg",E207="l"),D207*1000,D207),"")</f>
      </c>
      <c r="K207" s="5"/>
    </row>
    <row r="208" spans="1:11" x14ac:dyDescent="0.25">
      <c r="A208" s="7"/>
      <c r="B208" s="7"/>
      <c r="C208" s="7"/>
      <c r="D208" s="7"/>
      <c r="E208" s="7"/>
      <c r="F208" s="7"/>
      <c r="G208" s="7"/>
      <c r="H208" s="5"/>
      <c r="I208" s="8">
        <f>IF(E208="","",IF(OR(E208="kg",E208="g"),"g",IF(OR(E208="l",E208="ml"),"ml",IF(E208="un","un",""))))</f>
      </c>
      <c r="J208" s="9">
        <f>IFERROR(F208/IF(OR(E208="kg",E208="l"),D208*1000,D208),"")</f>
      </c>
      <c r="K208" s="5"/>
    </row>
    <row r="209" spans="1:11" x14ac:dyDescent="0.25">
      <c r="A209" s="7"/>
      <c r="B209" s="7"/>
      <c r="C209" s="7"/>
      <c r="D209" s="7"/>
      <c r="E209" s="7"/>
      <c r="F209" s="7"/>
      <c r="G209" s="7"/>
      <c r="H209" s="5"/>
      <c r="I209" s="8">
        <f>IF(E209="","",IF(OR(E209="kg",E209="g"),"g",IF(OR(E209="l",E209="ml"),"ml",IF(E209="un","un",""))))</f>
      </c>
      <c r="J209" s="9">
        <f>IFERROR(F209/IF(OR(E209="kg",E209="l"),D209*1000,D209),"")</f>
      </c>
      <c r="K209" s="5"/>
    </row>
    <row r="210" spans="1:11" x14ac:dyDescent="0.25">
      <c r="A210" s="7"/>
      <c r="B210" s="7"/>
      <c r="C210" s="7"/>
      <c r="D210" s="7"/>
      <c r="E210" s="7"/>
      <c r="F210" s="7"/>
      <c r="G210" s="7"/>
      <c r="H210" s="5"/>
      <c r="I210" s="8">
        <f>IF(E210="","",IF(OR(E210="kg",E210="g"),"g",IF(OR(E210="l",E210="ml"),"ml",IF(E210="un","un",""))))</f>
      </c>
      <c r="J210" s="9">
        <f>IFERROR(F210/IF(OR(E210="kg",E210="l"),D210*1000,D210),"")</f>
      </c>
      <c r="K210" s="5"/>
    </row>
    <row r="211" spans="1:11" x14ac:dyDescent="0.25">
      <c r="A211" s="7"/>
      <c r="B211" s="7"/>
      <c r="C211" s="7"/>
      <c r="D211" s="7"/>
      <c r="E211" s="7"/>
      <c r="F211" s="7"/>
      <c r="G211" s="7"/>
      <c r="H211" s="5"/>
      <c r="I211" s="8">
        <f>IF(E211="","",IF(OR(E211="kg",E211="g"),"g",IF(OR(E211="l",E211="ml"),"ml",IF(E211="un","un",""))))</f>
      </c>
      <c r="J211" s="9">
        <f>IFERROR(F211/IF(OR(E211="kg",E211="l"),D211*1000,D211),"")</f>
      </c>
      <c r="K211" s="5"/>
    </row>
    <row r="212" spans="1:11" x14ac:dyDescent="0.25">
      <c r="A212" s="7"/>
      <c r="B212" s="7"/>
      <c r="C212" s="7"/>
      <c r="D212" s="7"/>
      <c r="E212" s="7"/>
      <c r="F212" s="7"/>
      <c r="G212" s="7"/>
      <c r="H212" s="5"/>
      <c r="I212" s="8">
        <f>IF(E212="","",IF(OR(E212="kg",E212="g"),"g",IF(OR(E212="l",E212="ml"),"ml",IF(E212="un","un",""))))</f>
      </c>
      <c r="J212" s="9">
        <f>IFERROR(F212/IF(OR(E212="kg",E212="l"),D212*1000,D212),"")</f>
      </c>
      <c r="K212" s="5"/>
    </row>
    <row r="213" spans="1:11" x14ac:dyDescent="0.25">
      <c r="A213" s="7"/>
      <c r="B213" s="7"/>
      <c r="C213" s="7"/>
      <c r="D213" s="7"/>
      <c r="E213" s="7"/>
      <c r="F213" s="7"/>
      <c r="G213" s="7"/>
      <c r="H213" s="5"/>
      <c r="I213" s="8">
        <f>IF(E213="","",IF(OR(E213="kg",E213="g"),"g",IF(OR(E213="l",E213="ml"),"ml",IF(E213="un","un",""))))</f>
      </c>
      <c r="J213" s="9">
        <f>IFERROR(F213/IF(OR(E213="kg",E213="l"),D213*1000,D213),"")</f>
      </c>
      <c r="K213" s="5"/>
    </row>
    <row r="214" spans="1:11" x14ac:dyDescent="0.25">
      <c r="A214" s="7"/>
      <c r="B214" s="7"/>
      <c r="C214" s="7"/>
      <c r="D214" s="7"/>
      <c r="E214" s="7"/>
      <c r="F214" s="7"/>
      <c r="G214" s="7"/>
      <c r="H214" s="5"/>
      <c r="I214" s="8">
        <f>IF(E214="","",IF(OR(E214="kg",E214="g"),"g",IF(OR(E214="l",E214="ml"),"ml",IF(E214="un","un",""))))</f>
      </c>
      <c r="J214" s="9">
        <f>IFERROR(F214/IF(OR(E214="kg",E214="l"),D214*1000,D214),"")</f>
      </c>
      <c r="K214" s="5"/>
    </row>
    <row r="215" spans="1:11" x14ac:dyDescent="0.25">
      <c r="A215" s="7"/>
      <c r="B215" s="7"/>
      <c r="C215" s="7"/>
      <c r="D215" s="7"/>
      <c r="E215" s="7"/>
      <c r="F215" s="7"/>
      <c r="G215" s="7"/>
      <c r="H215" s="5"/>
      <c r="I215" s="8">
        <f>IF(E215="","",IF(OR(E215="kg",E215="g"),"g",IF(OR(E215="l",E215="ml"),"ml",IF(E215="un","un",""))))</f>
      </c>
      <c r="J215" s="9">
        <f>IFERROR(F215/IF(OR(E215="kg",E215="l"),D215*1000,D215),"")</f>
      </c>
      <c r="K215" s="5"/>
    </row>
    <row r="216" spans="1:11" x14ac:dyDescent="0.25">
      <c r="A216" s="7"/>
      <c r="B216" s="7"/>
      <c r="C216" s="7"/>
      <c r="D216" s="7"/>
      <c r="E216" s="7"/>
      <c r="F216" s="7"/>
      <c r="G216" s="7"/>
      <c r="H216" s="5"/>
      <c r="I216" s="8">
        <f>IF(E216="","",IF(OR(E216="kg",E216="g"),"g",IF(OR(E216="l",E216="ml"),"ml",IF(E216="un","un",""))))</f>
      </c>
      <c r="J216" s="9">
        <f>IFERROR(F216/IF(OR(E216="kg",E216="l"),D216*1000,D216),"")</f>
      </c>
      <c r="K216" s="5"/>
    </row>
    <row r="217" spans="1:11" x14ac:dyDescent="0.25">
      <c r="A217" s="7"/>
      <c r="B217" s="7"/>
      <c r="C217" s="7"/>
      <c r="D217" s="7"/>
      <c r="E217" s="7"/>
      <c r="F217" s="7"/>
      <c r="G217" s="7"/>
      <c r="H217" s="5"/>
      <c r="I217" s="8">
        <f>IF(E217="","",IF(OR(E217="kg",E217="g"),"g",IF(OR(E217="l",E217="ml"),"ml",IF(E217="un","un",""))))</f>
      </c>
      <c r="J217" s="9">
        <f>IFERROR(F217/IF(OR(E217="kg",E217="l"),D217*1000,D217),"")</f>
      </c>
      <c r="K217" s="5"/>
    </row>
    <row r="218" spans="1:11" x14ac:dyDescent="0.25">
      <c r="A218" s="7"/>
      <c r="B218" s="7"/>
      <c r="C218" s="7"/>
      <c r="D218" s="7"/>
      <c r="E218" s="7"/>
      <c r="F218" s="7"/>
      <c r="G218" s="7"/>
      <c r="H218" s="5"/>
      <c r="I218" s="8">
        <f>IF(E218="","",IF(OR(E218="kg",E218="g"),"g",IF(OR(E218="l",E218="ml"),"ml",IF(E218="un","un",""))))</f>
      </c>
      <c r="J218" s="9">
        <f>IFERROR(F218/IF(OR(E218="kg",E218="l"),D218*1000,D218),"")</f>
      </c>
      <c r="K218" s="5"/>
    </row>
    <row r="219" spans="1:11" x14ac:dyDescent="0.25">
      <c r="A219" s="7"/>
      <c r="B219" s="7"/>
      <c r="C219" s="7"/>
      <c r="D219" s="7"/>
      <c r="E219" s="7"/>
      <c r="F219" s="7"/>
      <c r="G219" s="7"/>
      <c r="H219" s="5"/>
      <c r="I219" s="8">
        <f>IF(E219="","",IF(OR(E219="kg",E219="g"),"g",IF(OR(E219="l",E219="ml"),"ml",IF(E219="un","un",""))))</f>
      </c>
      <c r="J219" s="9">
        <f>IFERROR(F219/IF(OR(E219="kg",E219="l"),D219*1000,D219),"")</f>
      </c>
      <c r="K219" s="5"/>
    </row>
    <row r="220" spans="1:11" x14ac:dyDescent="0.25">
      <c r="A220" s="7"/>
      <c r="B220" s="7"/>
      <c r="C220" s="7"/>
      <c r="D220" s="7"/>
      <c r="E220" s="7"/>
      <c r="F220" s="7"/>
      <c r="G220" s="7"/>
      <c r="H220" s="5"/>
      <c r="I220" s="8">
        <f>IF(E220="","",IF(OR(E220="kg",E220="g"),"g",IF(OR(E220="l",E220="ml"),"ml",IF(E220="un","un",""))))</f>
      </c>
      <c r="J220" s="9">
        <f>IFERROR(F220/IF(OR(E220="kg",E220="l"),D220*1000,D220),"")</f>
      </c>
      <c r="K220" s="5"/>
    </row>
    <row r="221" spans="1:11" x14ac:dyDescent="0.25">
      <c r="A221" s="7"/>
      <c r="B221" s="7"/>
      <c r="C221" s="7"/>
      <c r="D221" s="7"/>
      <c r="E221" s="7"/>
      <c r="F221" s="7"/>
      <c r="G221" s="7"/>
      <c r="H221" s="5"/>
      <c r="I221" s="8">
        <f>IF(E221="","",IF(OR(E221="kg",E221="g"),"g",IF(OR(E221="l",E221="ml"),"ml",IF(E221="un","un",""))))</f>
      </c>
      <c r="J221" s="9">
        <f>IFERROR(F221/IF(OR(E221="kg",E221="l"),D221*1000,D221),"")</f>
      </c>
      <c r="K221" s="5"/>
    </row>
    <row r="222" spans="1:11" x14ac:dyDescent="0.25">
      <c r="A222" s="7"/>
      <c r="B222" s="7"/>
      <c r="C222" s="7"/>
      <c r="D222" s="7"/>
      <c r="E222" s="7"/>
      <c r="F222" s="7"/>
      <c r="G222" s="7"/>
      <c r="H222" s="5"/>
      <c r="I222" s="8">
        <f>IF(E222="","",IF(OR(E222="kg",E222="g"),"g",IF(OR(E222="l",E222="ml"),"ml",IF(E222="un","un",""))))</f>
      </c>
      <c r="J222" s="9">
        <f>IFERROR(F222/IF(OR(E222="kg",E222="l"),D222*1000,D222),"")</f>
      </c>
      <c r="K222" s="5"/>
    </row>
    <row r="223" spans="1:11" x14ac:dyDescent="0.25">
      <c r="A223" s="7"/>
      <c r="B223" s="7"/>
      <c r="C223" s="7"/>
      <c r="D223" s="7"/>
      <c r="E223" s="7"/>
      <c r="F223" s="7"/>
      <c r="G223" s="7"/>
      <c r="H223" s="5"/>
      <c r="I223" s="8">
        <f>IF(E223="","",IF(OR(E223="kg",E223="g"),"g",IF(OR(E223="l",E223="ml"),"ml",IF(E223="un","un",""))))</f>
      </c>
      <c r="J223" s="9">
        <f>IFERROR(F223/IF(OR(E223="kg",E223="l"),D223*1000,D223),"")</f>
      </c>
      <c r="K223" s="5"/>
    </row>
    <row r="224" spans="1:11" x14ac:dyDescent="0.25">
      <c r="A224" s="7"/>
      <c r="B224" s="7"/>
      <c r="C224" s="7"/>
      <c r="D224" s="7"/>
      <c r="E224" s="7"/>
      <c r="F224" s="7"/>
      <c r="G224" s="7"/>
      <c r="H224" s="5"/>
      <c r="I224" s="8">
        <f>IF(E224="","",IF(OR(E224="kg",E224="g"),"g",IF(OR(E224="l",E224="ml"),"ml",IF(E224="un","un",""))))</f>
      </c>
      <c r="J224" s="9">
        <f>IFERROR(F224/IF(OR(E224="kg",E224="l"),D224*1000,D224),"")</f>
      </c>
      <c r="K224" s="5"/>
    </row>
    <row r="225" spans="1:11" x14ac:dyDescent="0.25">
      <c r="A225" s="7"/>
      <c r="B225" s="7"/>
      <c r="C225" s="7"/>
      <c r="D225" s="7"/>
      <c r="E225" s="7"/>
      <c r="F225" s="7"/>
      <c r="G225" s="7"/>
      <c r="H225" s="5"/>
      <c r="I225" s="8">
        <f>IF(E225="","",IF(OR(E225="kg",E225="g"),"g",IF(OR(E225="l",E225="ml"),"ml",IF(E225="un","un",""))))</f>
      </c>
      <c r="J225" s="9">
        <f>IFERROR(F225/IF(OR(E225="kg",E225="l"),D225*1000,D225),"")</f>
      </c>
      <c r="K225" s="5"/>
    </row>
    <row r="226" spans="1:11" x14ac:dyDescent="0.25">
      <c r="A226" s="7"/>
      <c r="B226" s="7"/>
      <c r="C226" s="7"/>
      <c r="D226" s="7"/>
      <c r="E226" s="7"/>
      <c r="F226" s="7"/>
      <c r="G226" s="7"/>
      <c r="H226" s="5"/>
      <c r="I226" s="8">
        <f>IF(E226="","",IF(OR(E226="kg",E226="g"),"g",IF(OR(E226="l",E226="ml"),"ml",IF(E226="un","un",""))))</f>
      </c>
      <c r="J226" s="9">
        <f>IFERROR(F226/IF(OR(E226="kg",E226="l"),D226*1000,D226),"")</f>
      </c>
      <c r="K226" s="5"/>
    </row>
    <row r="227" spans="1:11" x14ac:dyDescent="0.25">
      <c r="A227" s="7"/>
      <c r="B227" s="7"/>
      <c r="C227" s="7"/>
      <c r="D227" s="7"/>
      <c r="E227" s="7"/>
      <c r="F227" s="7"/>
      <c r="G227" s="7"/>
      <c r="H227" s="5"/>
      <c r="I227" s="8">
        <f>IF(E227="","",IF(OR(E227="kg",E227="g"),"g",IF(OR(E227="l",E227="ml"),"ml",IF(E227="un","un",""))))</f>
      </c>
      <c r="J227" s="9">
        <f>IFERROR(F227/IF(OR(E227="kg",E227="l"),D227*1000,D227),"")</f>
      </c>
      <c r="K227" s="5"/>
    </row>
    <row r="228" spans="1:11" x14ac:dyDescent="0.25">
      <c r="A228" s="7"/>
      <c r="B228" s="7"/>
      <c r="C228" s="7"/>
      <c r="D228" s="7"/>
      <c r="E228" s="7"/>
      <c r="F228" s="7"/>
      <c r="G228" s="7"/>
      <c r="H228" s="5"/>
      <c r="I228" s="8">
        <f>IF(E228="","",IF(OR(E228="kg",E228="g"),"g",IF(OR(E228="l",E228="ml"),"ml",IF(E228="un","un",""))))</f>
      </c>
      <c r="J228" s="9">
        <f>IFERROR(F228/IF(OR(E228="kg",E228="l"),D228*1000,D228),"")</f>
      </c>
      <c r="K228" s="5"/>
    </row>
    <row r="229" spans="1:11" x14ac:dyDescent="0.25">
      <c r="A229" s="7"/>
      <c r="B229" s="7"/>
      <c r="C229" s="7"/>
      <c r="D229" s="7"/>
      <c r="E229" s="7"/>
      <c r="F229" s="7"/>
      <c r="G229" s="7"/>
      <c r="H229" s="5"/>
      <c r="I229" s="8">
        <f>IF(E229="","",IF(OR(E229="kg",E229="g"),"g",IF(OR(E229="l",E229="ml"),"ml",IF(E229="un","un",""))))</f>
      </c>
      <c r="J229" s="9">
        <f>IFERROR(F229/IF(OR(E229="kg",E229="l"),D229*1000,D229),"")</f>
      </c>
      <c r="K229" s="5"/>
    </row>
    <row r="230" spans="1:11" x14ac:dyDescent="0.25">
      <c r="A230" s="7"/>
      <c r="B230" s="7"/>
      <c r="C230" s="7"/>
      <c r="D230" s="7"/>
      <c r="E230" s="7"/>
      <c r="F230" s="7"/>
      <c r="G230" s="7"/>
      <c r="H230" s="5"/>
      <c r="I230" s="8">
        <f>IF(E230="","",IF(OR(E230="kg",E230="g"),"g",IF(OR(E230="l",E230="ml"),"ml",IF(E230="un","un",""))))</f>
      </c>
      <c r="J230" s="9">
        <f>IFERROR(F230/IF(OR(E230="kg",E230="l"),D230*1000,D230),"")</f>
      </c>
      <c r="K230" s="5"/>
    </row>
    <row r="231" spans="1:11" x14ac:dyDescent="0.25">
      <c r="A231" s="7"/>
      <c r="B231" s="7"/>
      <c r="C231" s="7"/>
      <c r="D231" s="7"/>
      <c r="E231" s="7"/>
      <c r="F231" s="7"/>
      <c r="G231" s="7"/>
      <c r="H231" s="5"/>
      <c r="I231" s="8">
        <f>IF(E231="","",IF(OR(E231="kg",E231="g"),"g",IF(OR(E231="l",E231="ml"),"ml",IF(E231="un","un",""))))</f>
      </c>
      <c r="J231" s="9">
        <f>IFERROR(F231/IF(OR(E231="kg",E231="l"),D231*1000,D231),"")</f>
      </c>
      <c r="K231" s="5"/>
    </row>
    <row r="232" spans="1:11" x14ac:dyDescent="0.25">
      <c r="A232" s="7"/>
      <c r="B232" s="7"/>
      <c r="C232" s="7"/>
      <c r="D232" s="7"/>
      <c r="E232" s="7"/>
      <c r="F232" s="7"/>
      <c r="G232" s="7"/>
      <c r="H232" s="5"/>
      <c r="I232" s="8">
        <f>IF(E232="","",IF(OR(E232="kg",E232="g"),"g",IF(OR(E232="l",E232="ml"),"ml",IF(E232="un","un",""))))</f>
      </c>
      <c r="J232" s="9">
        <f>IFERROR(F232/IF(OR(E232="kg",E232="l"),D232*1000,D232),"")</f>
      </c>
      <c r="K232" s="5"/>
    </row>
    <row r="233" spans="1:11" x14ac:dyDescent="0.25">
      <c r="A233" s="7"/>
      <c r="B233" s="7"/>
      <c r="C233" s="7"/>
      <c r="D233" s="7"/>
      <c r="E233" s="7"/>
      <c r="F233" s="7"/>
      <c r="G233" s="7"/>
      <c r="H233" s="5"/>
      <c r="I233" s="8">
        <f>IF(E233="","",IF(OR(E233="kg",E233="g"),"g",IF(OR(E233="l",E233="ml"),"ml",IF(E233="un","un",""))))</f>
      </c>
      <c r="J233" s="9">
        <f>IFERROR(F233/IF(OR(E233="kg",E233="l"),D233*1000,D233),"")</f>
      </c>
      <c r="K233" s="5"/>
    </row>
    <row r="234" spans="1:11" x14ac:dyDescent="0.25">
      <c r="A234" s="7"/>
      <c r="B234" s="7"/>
      <c r="C234" s="7"/>
      <c r="D234" s="7"/>
      <c r="E234" s="7"/>
      <c r="F234" s="7"/>
      <c r="G234" s="7"/>
      <c r="H234" s="5"/>
      <c r="I234" s="8">
        <f>IF(E234="","",IF(OR(E234="kg",E234="g"),"g",IF(OR(E234="l",E234="ml"),"ml",IF(E234="un","un",""))))</f>
      </c>
      <c r="J234" s="9">
        <f>IFERROR(F234/IF(OR(E234="kg",E234="l"),D234*1000,D234),"")</f>
      </c>
      <c r="K234" s="5"/>
    </row>
    <row r="235" spans="1:11" x14ac:dyDescent="0.25">
      <c r="A235" s="7"/>
      <c r="B235" s="7"/>
      <c r="C235" s="7"/>
      <c r="D235" s="7"/>
      <c r="E235" s="7"/>
      <c r="F235" s="7"/>
      <c r="G235" s="7"/>
      <c r="H235" s="5"/>
      <c r="I235" s="8">
        <f>IF(E235="","",IF(OR(E235="kg",E235="g"),"g",IF(OR(E235="l",E235="ml"),"ml",IF(E235="un","un",""))))</f>
      </c>
      <c r="J235" s="9">
        <f>IFERROR(F235/IF(OR(E235="kg",E235="l"),D235*1000,D235),"")</f>
      </c>
      <c r="K235" s="5"/>
    </row>
    <row r="236" spans="1:11" x14ac:dyDescent="0.25">
      <c r="A236" s="7"/>
      <c r="B236" s="7"/>
      <c r="C236" s="7"/>
      <c r="D236" s="7"/>
      <c r="E236" s="7"/>
      <c r="F236" s="7"/>
      <c r="G236" s="7"/>
      <c r="H236" s="5"/>
      <c r="I236" s="8">
        <f>IF(E236="","",IF(OR(E236="kg",E236="g"),"g",IF(OR(E236="l",E236="ml"),"ml",IF(E236="un","un",""))))</f>
      </c>
      <c r="J236" s="9">
        <f>IFERROR(F236/IF(OR(E236="kg",E236="l"),D236*1000,D236),"")</f>
      </c>
      <c r="K236" s="5"/>
    </row>
    <row r="237" spans="1:11" x14ac:dyDescent="0.25">
      <c r="A237" s="7"/>
      <c r="B237" s="7"/>
      <c r="C237" s="7"/>
      <c r="D237" s="7"/>
      <c r="E237" s="7"/>
      <c r="F237" s="7"/>
      <c r="G237" s="7"/>
      <c r="H237" s="5"/>
      <c r="I237" s="8">
        <f>IF(E237="","",IF(OR(E237="kg",E237="g"),"g",IF(OR(E237="l",E237="ml"),"ml",IF(E237="un","un",""))))</f>
      </c>
      <c r="J237" s="9">
        <f>IFERROR(F237/IF(OR(E237="kg",E237="l"),D237*1000,D237),"")</f>
      </c>
      <c r="K237" s="5"/>
    </row>
    <row r="238" spans="1:11" x14ac:dyDescent="0.25">
      <c r="A238" s="7"/>
      <c r="B238" s="7"/>
      <c r="C238" s="7"/>
      <c r="D238" s="7"/>
      <c r="E238" s="7"/>
      <c r="F238" s="7"/>
      <c r="G238" s="7"/>
      <c r="H238" s="5"/>
      <c r="I238" s="8">
        <f>IF(E238="","",IF(OR(E238="kg",E238="g"),"g",IF(OR(E238="l",E238="ml"),"ml",IF(E238="un","un",""))))</f>
      </c>
      <c r="J238" s="9">
        <f>IFERROR(F238/IF(OR(E238="kg",E238="l"),D238*1000,D238),"")</f>
      </c>
      <c r="K238" s="5"/>
    </row>
    <row r="239" spans="1:11" x14ac:dyDescent="0.25">
      <c r="A239" s="7"/>
      <c r="B239" s="7"/>
      <c r="C239" s="7"/>
      <c r="D239" s="7"/>
      <c r="E239" s="7"/>
      <c r="F239" s="7"/>
      <c r="G239" s="7"/>
      <c r="H239" s="5"/>
      <c r="I239" s="8">
        <f>IF(E239="","",IF(OR(E239="kg",E239="g"),"g",IF(OR(E239="l",E239="ml"),"ml",IF(E239="un","un",""))))</f>
      </c>
      <c r="J239" s="9">
        <f>IFERROR(F239/IF(OR(E239="kg",E239="l"),D239*1000,D239),"")</f>
      </c>
      <c r="K239" s="5"/>
    </row>
    <row r="240" spans="1:11" x14ac:dyDescent="0.25">
      <c r="A240" s="7"/>
      <c r="B240" s="7"/>
      <c r="C240" s="7"/>
      <c r="D240" s="7"/>
      <c r="E240" s="7"/>
      <c r="F240" s="7"/>
      <c r="G240" s="7"/>
      <c r="H240" s="5"/>
      <c r="I240" s="8">
        <f>IF(E240="","",IF(OR(E240="kg",E240="g"),"g",IF(OR(E240="l",E240="ml"),"ml",IF(E240="un","un",""))))</f>
      </c>
      <c r="J240" s="9">
        <f>IFERROR(F240/IF(OR(E240="kg",E240="l"),D240*1000,D240),"")</f>
      </c>
      <c r="K240" s="5"/>
    </row>
    <row r="241" spans="1:11" x14ac:dyDescent="0.25">
      <c r="A241" s="7"/>
      <c r="B241" s="7"/>
      <c r="C241" s="7"/>
      <c r="D241" s="7"/>
      <c r="E241" s="7"/>
      <c r="F241" s="7"/>
      <c r="G241" s="7"/>
      <c r="H241" s="5"/>
      <c r="I241" s="8">
        <f>IF(E241="","",IF(OR(E241="kg",E241="g"),"g",IF(OR(E241="l",E241="ml"),"ml",IF(E241="un","un",""))))</f>
      </c>
      <c r="J241" s="9">
        <f>IFERROR(F241/IF(OR(E241="kg",E241="l"),D241*1000,D241),"")</f>
      </c>
      <c r="K241" s="5"/>
    </row>
    <row r="242" spans="1:11" x14ac:dyDescent="0.25">
      <c r="A242" s="7"/>
      <c r="B242" s="7"/>
      <c r="C242" s="7"/>
      <c r="D242" s="7"/>
      <c r="E242" s="7"/>
      <c r="F242" s="7"/>
      <c r="G242" s="7"/>
      <c r="H242" s="5"/>
      <c r="I242" s="8">
        <f>IF(E242="","",IF(OR(E242="kg",E242="g"),"g",IF(OR(E242="l",E242="ml"),"ml",IF(E242="un","un",""))))</f>
      </c>
      <c r="J242" s="9">
        <f>IFERROR(F242/IF(OR(E242="kg",E242="l"),D242*1000,D242),"")</f>
      </c>
      <c r="K242" s="5"/>
    </row>
    <row r="243" spans="1:11" x14ac:dyDescent="0.25">
      <c r="A243" s="7"/>
      <c r="B243" s="7"/>
      <c r="C243" s="7"/>
      <c r="D243" s="7"/>
      <c r="E243" s="7"/>
      <c r="F243" s="7"/>
      <c r="G243" s="7"/>
      <c r="H243" s="5"/>
      <c r="I243" s="8">
        <f>IF(E243="","",IF(OR(E243="kg",E243="g"),"g",IF(OR(E243="l",E243="ml"),"ml",IF(E243="un","un",""))))</f>
      </c>
      <c r="J243" s="9">
        <f>IFERROR(F243/IF(OR(E243="kg",E243="l"),D243*1000,D243),"")</f>
      </c>
      <c r="K243" s="5"/>
    </row>
    <row r="244" spans="1:11" x14ac:dyDescent="0.25">
      <c r="A244" s="7"/>
      <c r="B244" s="7"/>
      <c r="C244" s="7"/>
      <c r="D244" s="7"/>
      <c r="E244" s="7"/>
      <c r="F244" s="7"/>
      <c r="G244" s="7"/>
      <c r="H244" s="5"/>
      <c r="I244" s="8">
        <f>IF(E244="","",IF(OR(E244="kg",E244="g"),"g",IF(OR(E244="l",E244="ml"),"ml",IF(E244="un","un",""))))</f>
      </c>
      <c r="J244" s="9">
        <f>IFERROR(F244/IF(OR(E244="kg",E244="l"),D244*1000,D244),"")</f>
      </c>
      <c r="K244" s="5"/>
    </row>
    <row r="245" spans="1:11" x14ac:dyDescent="0.25">
      <c r="A245" s="7"/>
      <c r="B245" s="7"/>
      <c r="C245" s="7"/>
      <c r="D245" s="7"/>
      <c r="E245" s="7"/>
      <c r="F245" s="7"/>
      <c r="G245" s="7"/>
      <c r="H245" s="5"/>
      <c r="I245" s="8">
        <f>IF(E245="","",IF(OR(E245="kg",E245="g"),"g",IF(OR(E245="l",E245="ml"),"ml",IF(E245="un","un",""))))</f>
      </c>
      <c r="J245" s="9">
        <f>IFERROR(F245/IF(OR(E245="kg",E245="l"),D245*1000,D245),"")</f>
      </c>
      <c r="K245" s="5"/>
    </row>
    <row r="246" spans="1:11" x14ac:dyDescent="0.25">
      <c r="A246" s="7"/>
      <c r="B246" s="7"/>
      <c r="C246" s="7"/>
      <c r="D246" s="7"/>
      <c r="E246" s="7"/>
      <c r="F246" s="7"/>
      <c r="G246" s="7"/>
      <c r="H246" s="5"/>
      <c r="I246" s="8">
        <f>IF(E246="","",IF(OR(E246="kg",E246="g"),"g",IF(OR(E246="l",E246="ml"),"ml",IF(E246="un","un",""))))</f>
      </c>
      <c r="J246" s="9">
        <f>IFERROR(F246/IF(OR(E246="kg",E246="l"),D246*1000,D246),"")</f>
      </c>
      <c r="K246" s="5"/>
    </row>
    <row r="247" spans="1:11" x14ac:dyDescent="0.25">
      <c r="A247" s="7"/>
      <c r="B247" s="7"/>
      <c r="C247" s="7"/>
      <c r="D247" s="7"/>
      <c r="E247" s="7"/>
      <c r="F247" s="7"/>
      <c r="G247" s="7"/>
      <c r="H247" s="5"/>
      <c r="I247" s="8">
        <f>IF(E247="","",IF(OR(E247="kg",E247="g"),"g",IF(OR(E247="l",E247="ml"),"ml",IF(E247="un","un",""))))</f>
      </c>
      <c r="J247" s="9">
        <f>IFERROR(F247/IF(OR(E247="kg",E247="l"),D247*1000,D247),"")</f>
      </c>
      <c r="K247" s="5"/>
    </row>
    <row r="248" spans="1:11" x14ac:dyDescent="0.25">
      <c r="A248" s="7"/>
      <c r="B248" s="7"/>
      <c r="C248" s="7"/>
      <c r="D248" s="7"/>
      <c r="E248" s="7"/>
      <c r="F248" s="7"/>
      <c r="G248" s="7"/>
      <c r="H248" s="5"/>
      <c r="I248" s="8">
        <f>IF(E248="","",IF(OR(E248="kg",E248="g"),"g",IF(OR(E248="l",E248="ml"),"ml",IF(E248="un","un",""))))</f>
      </c>
      <c r="J248" s="9">
        <f>IFERROR(F248/IF(OR(E248="kg",E248="l"),D248*1000,D248),"")</f>
      </c>
      <c r="K248" s="5"/>
    </row>
    <row r="249" spans="1:11" x14ac:dyDescent="0.25">
      <c r="A249" s="7"/>
      <c r="B249" s="7"/>
      <c r="C249" s="7"/>
      <c r="D249" s="7"/>
      <c r="E249" s="7"/>
      <c r="F249" s="7"/>
      <c r="G249" s="7"/>
      <c r="H249" s="5"/>
      <c r="I249" s="8">
        <f>IF(E249="","",IF(OR(E249="kg",E249="g"),"g",IF(OR(E249="l",E249="ml"),"ml",IF(E249="un","un",""))))</f>
      </c>
      <c r="J249" s="9">
        <f>IFERROR(F249/IF(OR(E249="kg",E249="l"),D249*1000,D249),"")</f>
      </c>
      <c r="K249" s="5"/>
    </row>
    <row r="250" spans="1:11" x14ac:dyDescent="0.25">
      <c r="A250" s="7"/>
      <c r="B250" s="7"/>
      <c r="C250" s="7"/>
      <c r="D250" s="7"/>
      <c r="E250" s="7"/>
      <c r="F250" s="7"/>
      <c r="G250" s="7"/>
      <c r="H250" s="5"/>
      <c r="I250" s="8">
        <f>IF(E250="","",IF(OR(E250="kg",E250="g"),"g",IF(OR(E250="l",E250="ml"),"ml",IF(E250="un","un",""))))</f>
      </c>
      <c r="J250" s="9">
        <f>IFERROR(F250/IF(OR(E250="kg",E250="l"),D250*1000,D250),"")</f>
      </c>
      <c r="K250" s="5"/>
    </row>
    <row r="251" spans="1:11" x14ac:dyDescent="0.25">
      <c r="A251" s="7"/>
      <c r="B251" s="7"/>
      <c r="C251" s="7"/>
      <c r="D251" s="7"/>
      <c r="E251" s="7"/>
      <c r="F251" s="7"/>
      <c r="G251" s="7"/>
      <c r="H251" s="5"/>
      <c r="I251" s="8">
        <f>IF(E251="","",IF(OR(E251="kg",E251="g"),"g",IF(OR(E251="l",E251="ml"),"ml",IF(E251="un","un",""))))</f>
      </c>
      <c r="J251" s="9">
        <f>IFERROR(F251/IF(OR(E251="kg",E251="l"),D251*1000,D251),"")</f>
      </c>
      <c r="K251" s="5"/>
    </row>
    <row r="252" spans="1:11" x14ac:dyDescent="0.25">
      <c r="A252" s="7"/>
      <c r="B252" s="7"/>
      <c r="C252" s="7"/>
      <c r="D252" s="7"/>
      <c r="E252" s="7"/>
      <c r="F252" s="7"/>
      <c r="G252" s="7"/>
      <c r="H252" s="5"/>
      <c r="I252" s="8">
        <f>IF(E252="","",IF(OR(E252="kg",E252="g"),"g",IF(OR(E252="l",E252="ml"),"ml",IF(E252="un","un",""))))</f>
      </c>
      <c r="J252" s="9">
        <f>IFERROR(F252/IF(OR(E252="kg",E252="l"),D252*1000,D252),"")</f>
      </c>
      <c r="K252" s="5"/>
    </row>
    <row r="253" spans="1:11" x14ac:dyDescent="0.25">
      <c r="A253" s="7"/>
      <c r="B253" s="7"/>
      <c r="C253" s="7"/>
      <c r="D253" s="7"/>
      <c r="E253" s="7"/>
      <c r="F253" s="7"/>
      <c r="G253" s="7"/>
      <c r="H253" s="5"/>
      <c r="I253" s="8">
        <f>IF(E253="","",IF(OR(E253="kg",E253="g"),"g",IF(OR(E253="l",E253="ml"),"ml",IF(E253="un","un",""))))</f>
      </c>
      <c r="J253" s="9">
        <f>IFERROR(F253/IF(OR(E253="kg",E253="l"),D253*1000,D253),"")</f>
      </c>
      <c r="K253" s="5"/>
    </row>
    <row r="254" spans="1:11" x14ac:dyDescent="0.25">
      <c r="A254" s="7"/>
      <c r="B254" s="7"/>
      <c r="C254" s="7"/>
      <c r="D254" s="7"/>
      <c r="E254" s="7"/>
      <c r="F254" s="7"/>
      <c r="G254" s="7"/>
      <c r="H254" s="5"/>
      <c r="I254" s="8">
        <f>IF(E254="","",IF(OR(E254="kg",E254="g"),"g",IF(OR(E254="l",E254="ml"),"ml",IF(E254="un","un",""))))</f>
      </c>
      <c r="J254" s="9">
        <f>IFERROR(F254/IF(OR(E254="kg",E254="l"),D254*1000,D254),"")</f>
      </c>
      <c r="K254" s="5"/>
    </row>
    <row r="255" spans="1:11" x14ac:dyDescent="0.25">
      <c r="A255" s="7"/>
      <c r="B255" s="7"/>
      <c r="C255" s="7"/>
      <c r="D255" s="7"/>
      <c r="E255" s="7"/>
      <c r="F255" s="7"/>
      <c r="G255" s="7"/>
      <c r="H255" s="5"/>
      <c r="I255" s="8">
        <f>IF(E255="","",IF(OR(E255="kg",E255="g"),"g",IF(OR(E255="l",E255="ml"),"ml",IF(E255="un","un",""))))</f>
      </c>
      <c r="J255" s="9">
        <f>IFERROR(F255/IF(OR(E255="kg",E255="l"),D255*1000,D255),"")</f>
      </c>
      <c r="K255" s="5"/>
    </row>
    <row r="256" spans="1:11" x14ac:dyDescent="0.25">
      <c r="A256" s="7"/>
      <c r="B256" s="7"/>
      <c r="C256" s="7"/>
      <c r="D256" s="7"/>
      <c r="E256" s="7"/>
      <c r="F256" s="7"/>
      <c r="G256" s="7"/>
      <c r="H256" s="5"/>
      <c r="I256" s="8">
        <f>IF(E256="","",IF(OR(E256="kg",E256="g"),"g",IF(OR(E256="l",E256="ml"),"ml",IF(E256="un","un",""))))</f>
      </c>
      <c r="J256" s="9">
        <f>IFERROR(F256/IF(OR(E256="kg",E256="l"),D256*1000,D256),"")</f>
      </c>
      <c r="K256" s="5"/>
    </row>
    <row r="257" spans="1:11" x14ac:dyDescent="0.25">
      <c r="A257" s="7"/>
      <c r="B257" s="7"/>
      <c r="C257" s="7"/>
      <c r="D257" s="7"/>
      <c r="E257" s="7"/>
      <c r="F257" s="7"/>
      <c r="G257" s="7"/>
      <c r="H257" s="5"/>
      <c r="I257" s="8">
        <f>IF(E257="","",IF(OR(E257="kg",E257="g"),"g",IF(OR(E257="l",E257="ml"),"ml",IF(E257="un","un",""))))</f>
      </c>
      <c r="J257" s="9">
        <f>IFERROR(F257/IF(OR(E257="kg",E257="l"),D257*1000,D257),"")</f>
      </c>
      <c r="K257" s="5"/>
    </row>
    <row r="258" spans="1:11" x14ac:dyDescent="0.25">
      <c r="A258" s="7"/>
      <c r="B258" s="7"/>
      <c r="C258" s="7"/>
      <c r="D258" s="7"/>
      <c r="E258" s="7"/>
      <c r="F258" s="7"/>
      <c r="G258" s="7"/>
      <c r="H258" s="5"/>
      <c r="I258" s="8">
        <f>IF(E258="","",IF(OR(E258="kg",E258="g"),"g",IF(OR(E258="l",E258="ml"),"ml",IF(E258="un","un",""))))</f>
      </c>
      <c r="J258" s="9">
        <f>IFERROR(F258/IF(OR(E258="kg",E258="l"),D258*1000,D258),"")</f>
      </c>
      <c r="K258" s="5"/>
    </row>
    <row r="259" spans="1:11" x14ac:dyDescent="0.25">
      <c r="A259" s="7"/>
      <c r="B259" s="7"/>
      <c r="C259" s="7"/>
      <c r="D259" s="7"/>
      <c r="E259" s="7"/>
      <c r="F259" s="7"/>
      <c r="G259" s="7"/>
      <c r="H259" s="5"/>
      <c r="I259" s="8">
        <f>IF(E259="","",IF(OR(E259="kg",E259="g"),"g",IF(OR(E259="l",E259="ml"),"ml",IF(E259="un","un",""))))</f>
      </c>
      <c r="J259" s="9">
        <f>IFERROR(F259/IF(OR(E259="kg",E259="l"),D259*1000,D259),"")</f>
      </c>
      <c r="K259" s="5"/>
    </row>
    <row r="260" spans="1:11" x14ac:dyDescent="0.25">
      <c r="A260" s="7"/>
      <c r="B260" s="7"/>
      <c r="C260" s="7"/>
      <c r="D260" s="7"/>
      <c r="E260" s="7"/>
      <c r="F260" s="7"/>
      <c r="G260" s="7"/>
      <c r="H260" s="5"/>
      <c r="I260" s="8">
        <f>IF(E260="","",IF(OR(E260="kg",E260="g"),"g",IF(OR(E260="l",E260="ml"),"ml",IF(E260="un","un",""))))</f>
      </c>
      <c r="J260" s="9">
        <f>IFERROR(F260/IF(OR(E260="kg",E260="l"),D260*1000,D260),"")</f>
      </c>
      <c r="K260" s="5"/>
    </row>
    <row r="261" spans="1:11" x14ac:dyDescent="0.25">
      <c r="A261" s="7"/>
      <c r="B261" s="7"/>
      <c r="C261" s="7"/>
      <c r="D261" s="7"/>
      <c r="E261" s="7"/>
      <c r="F261" s="7"/>
      <c r="G261" s="7"/>
      <c r="H261" s="5"/>
      <c r="I261" s="8">
        <f>IF(E261="","",IF(OR(E261="kg",E261="g"),"g",IF(OR(E261="l",E261="ml"),"ml",IF(E261="un","un",""))))</f>
      </c>
      <c r="J261" s="9">
        <f>IFERROR(F261/IF(OR(E261="kg",E261="l"),D261*1000,D261),"")</f>
      </c>
      <c r="K261" s="5"/>
    </row>
    <row r="262" spans="1:11" x14ac:dyDescent="0.25">
      <c r="A262" s="7"/>
      <c r="B262" s="7"/>
      <c r="C262" s="7"/>
      <c r="D262" s="7"/>
      <c r="E262" s="7"/>
      <c r="F262" s="7"/>
      <c r="G262" s="7"/>
      <c r="H262" s="5"/>
      <c r="I262" s="8">
        <f>IF(E262="","",IF(OR(E262="kg",E262="g"),"g",IF(OR(E262="l",E262="ml"),"ml",IF(E262="un","un",""))))</f>
      </c>
      <c r="J262" s="9">
        <f>IFERROR(F262/IF(OR(E262="kg",E262="l"),D262*1000,D262),"")</f>
      </c>
      <c r="K262" s="5"/>
    </row>
    <row r="263" spans="1:11" x14ac:dyDescent="0.25">
      <c r="A263" s="7"/>
      <c r="B263" s="7"/>
      <c r="C263" s="7"/>
      <c r="D263" s="7"/>
      <c r="E263" s="7"/>
      <c r="F263" s="7"/>
      <c r="G263" s="7"/>
      <c r="H263" s="5"/>
      <c r="I263" s="8">
        <f>IF(E263="","",IF(OR(E263="kg",E263="g"),"g",IF(OR(E263="l",E263="ml"),"ml",IF(E263="un","un",""))))</f>
      </c>
      <c r="J263" s="9">
        <f>IFERROR(F263/IF(OR(E263="kg",E263="l"),D263*1000,D263),"")</f>
      </c>
      <c r="K263" s="5"/>
    </row>
    <row r="264" spans="1:11" x14ac:dyDescent="0.25">
      <c r="A264" s="7"/>
      <c r="B264" s="7"/>
      <c r="C264" s="7"/>
      <c r="D264" s="7"/>
      <c r="E264" s="7"/>
      <c r="F264" s="7"/>
      <c r="G264" s="7"/>
      <c r="H264" s="5"/>
      <c r="I264" s="8">
        <f>IF(E264="","",IF(OR(E264="kg",E264="g"),"g",IF(OR(E264="l",E264="ml"),"ml",IF(E264="un","un",""))))</f>
      </c>
      <c r="J264" s="9">
        <f>IFERROR(F264/IF(OR(E264="kg",E264="l"),D264*1000,D264),"")</f>
      </c>
      <c r="K264" s="5"/>
    </row>
    <row r="265" spans="1:11" x14ac:dyDescent="0.25">
      <c r="A265" s="7"/>
      <c r="B265" s="7"/>
      <c r="C265" s="7"/>
      <c r="D265" s="7"/>
      <c r="E265" s="7"/>
      <c r="F265" s="7"/>
      <c r="G265" s="7"/>
      <c r="H265" s="5"/>
      <c r="I265" s="8">
        <f>IF(E265="","",IF(OR(E265="kg",E265="g"),"g",IF(OR(E265="l",E265="ml"),"ml",IF(E265="un","un",""))))</f>
      </c>
      <c r="J265" s="9">
        <f>IFERROR(F265/IF(OR(E265="kg",E265="l"),D265*1000,D265),"")</f>
      </c>
      <c r="K265" s="5"/>
    </row>
    <row r="266" spans="1:11" x14ac:dyDescent="0.25">
      <c r="A266" s="7"/>
      <c r="B266" s="7"/>
      <c r="C266" s="7"/>
      <c r="D266" s="7"/>
      <c r="E266" s="7"/>
      <c r="F266" s="7"/>
      <c r="G266" s="7"/>
      <c r="H266" s="5"/>
      <c r="I266" s="8">
        <f>IF(E266="","",IF(OR(E266="kg",E266="g"),"g",IF(OR(E266="l",E266="ml"),"ml",IF(E266="un","un",""))))</f>
      </c>
      <c r="J266" s="9">
        <f>IFERROR(F266/IF(OR(E266="kg",E266="l"),D266*1000,D266),"")</f>
      </c>
      <c r="K266" s="5"/>
    </row>
    <row r="267" spans="1:11" x14ac:dyDescent="0.25">
      <c r="A267" s="7"/>
      <c r="B267" s="7"/>
      <c r="C267" s="7"/>
      <c r="D267" s="7"/>
      <c r="E267" s="7"/>
      <c r="F267" s="7"/>
      <c r="G267" s="7"/>
      <c r="H267" s="5"/>
      <c r="I267" s="8">
        <f>IF(E267="","",IF(OR(E267="kg",E267="g"),"g",IF(OR(E267="l",E267="ml"),"ml",IF(E267="un","un",""))))</f>
      </c>
      <c r="J267" s="9">
        <f>IFERROR(F267/IF(OR(E267="kg",E267="l"),D267*1000,D267),"")</f>
      </c>
      <c r="K267" s="5"/>
    </row>
    <row r="268" spans="1:11" x14ac:dyDescent="0.25">
      <c r="A268" s="7"/>
      <c r="B268" s="7"/>
      <c r="C268" s="7"/>
      <c r="D268" s="7"/>
      <c r="E268" s="7"/>
      <c r="F268" s="7"/>
      <c r="G268" s="7"/>
      <c r="H268" s="5"/>
      <c r="I268" s="8">
        <f>IF(E268="","",IF(OR(E268="kg",E268="g"),"g",IF(OR(E268="l",E268="ml"),"ml",IF(E268="un","un",""))))</f>
      </c>
      <c r="J268" s="9">
        <f>IFERROR(F268/IF(OR(E268="kg",E268="l"),D268*1000,D268),"")</f>
      </c>
      <c r="K268" s="5"/>
    </row>
    <row r="269" spans="1:11" x14ac:dyDescent="0.25">
      <c r="A269" s="7"/>
      <c r="B269" s="7"/>
      <c r="C269" s="7"/>
      <c r="D269" s="7"/>
      <c r="E269" s="7"/>
      <c r="F269" s="7"/>
      <c r="G269" s="7"/>
      <c r="H269" s="5"/>
      <c r="I269" s="8">
        <f>IF(E269="","",IF(OR(E269="kg",E269="g"),"g",IF(OR(E269="l",E269="ml"),"ml",IF(E269="un","un",""))))</f>
      </c>
      <c r="J269" s="9">
        <f>IFERROR(F269/IF(OR(E269="kg",E269="l"),D269*1000,D269),"")</f>
      </c>
      <c r="K269" s="5"/>
    </row>
    <row r="270" spans="1:11" x14ac:dyDescent="0.25">
      <c r="A270" s="7"/>
      <c r="B270" s="7"/>
      <c r="C270" s="7"/>
      <c r="D270" s="7"/>
      <c r="E270" s="7"/>
      <c r="F270" s="7"/>
      <c r="G270" s="7"/>
      <c r="H270" s="5"/>
      <c r="I270" s="8">
        <f>IF(E270="","",IF(OR(E270="kg",E270="g"),"g",IF(OR(E270="l",E270="ml"),"ml",IF(E270="un","un",""))))</f>
      </c>
      <c r="J270" s="9">
        <f>IFERROR(F270/IF(OR(E270="kg",E270="l"),D270*1000,D270),"")</f>
      </c>
      <c r="K270" s="5"/>
    </row>
    <row r="271" spans="1:11" x14ac:dyDescent="0.25">
      <c r="A271" s="7"/>
      <c r="B271" s="7"/>
      <c r="C271" s="7"/>
      <c r="D271" s="7"/>
      <c r="E271" s="7"/>
      <c r="F271" s="7"/>
      <c r="G271" s="7"/>
      <c r="H271" s="5"/>
      <c r="I271" s="8">
        <f>IF(E271="","",IF(OR(E271="kg",E271="g"),"g",IF(OR(E271="l",E271="ml"),"ml",IF(E271="un","un",""))))</f>
      </c>
      <c r="J271" s="9">
        <f>IFERROR(F271/IF(OR(E271="kg",E271="l"),D271*1000,D271),"")</f>
      </c>
      <c r="K271" s="5"/>
    </row>
    <row r="272" spans="1:11" x14ac:dyDescent="0.25">
      <c r="A272" s="7"/>
      <c r="B272" s="7"/>
      <c r="C272" s="7"/>
      <c r="D272" s="7"/>
      <c r="E272" s="7"/>
      <c r="F272" s="7"/>
      <c r="G272" s="7"/>
      <c r="H272" s="5"/>
      <c r="I272" s="8">
        <f>IF(E272="","",IF(OR(E272="kg",E272="g"),"g",IF(OR(E272="l",E272="ml"),"ml",IF(E272="un","un",""))))</f>
      </c>
      <c r="J272" s="9">
        <f>IFERROR(F272/IF(OR(E272="kg",E272="l"),D272*1000,D272),"")</f>
      </c>
      <c r="K272" s="5"/>
    </row>
    <row r="273" spans="1:11" x14ac:dyDescent="0.25">
      <c r="A273" s="7"/>
      <c r="B273" s="7"/>
      <c r="C273" s="7"/>
      <c r="D273" s="7"/>
      <c r="E273" s="7"/>
      <c r="F273" s="7"/>
      <c r="G273" s="7"/>
      <c r="H273" s="5"/>
      <c r="I273" s="8">
        <f>IF(E273="","",IF(OR(E273="kg",E273="g"),"g",IF(OR(E273="l",E273="ml"),"ml",IF(E273="un","un",""))))</f>
      </c>
      <c r="J273" s="9">
        <f>IFERROR(F273/IF(OR(E273="kg",E273="l"),D273*1000,D273),"")</f>
      </c>
      <c r="K273" s="5"/>
    </row>
    <row r="274" spans="1:11" x14ac:dyDescent="0.25">
      <c r="A274" s="7"/>
      <c r="B274" s="7"/>
      <c r="C274" s="7"/>
      <c r="D274" s="7"/>
      <c r="E274" s="7"/>
      <c r="F274" s="7"/>
      <c r="G274" s="7"/>
      <c r="H274" s="5"/>
      <c r="I274" s="8">
        <f>IF(E274="","",IF(OR(E274="kg",E274="g"),"g",IF(OR(E274="l",E274="ml"),"ml",IF(E274="un","un",""))))</f>
      </c>
      <c r="J274" s="9">
        <f>IFERROR(F274/IF(OR(E274="kg",E274="l"),D274*1000,D274),"")</f>
      </c>
      <c r="K274" s="5"/>
    </row>
    <row r="275" spans="1:11" x14ac:dyDescent="0.25">
      <c r="A275" s="7"/>
      <c r="B275" s="7"/>
      <c r="C275" s="7"/>
      <c r="D275" s="7"/>
      <c r="E275" s="7"/>
      <c r="F275" s="7"/>
      <c r="G275" s="7"/>
      <c r="H275" s="5"/>
      <c r="I275" s="8">
        <f>IF(E275="","",IF(OR(E275="kg",E275="g"),"g",IF(OR(E275="l",E275="ml"),"ml",IF(E275="un","un",""))))</f>
      </c>
      <c r="J275" s="9">
        <f>IFERROR(F275/IF(OR(E275="kg",E275="l"),D275*1000,D275),"")</f>
      </c>
      <c r="K275" s="5"/>
    </row>
    <row r="276" spans="1:11" x14ac:dyDescent="0.25">
      <c r="A276" s="7"/>
      <c r="B276" s="7"/>
      <c r="C276" s="7"/>
      <c r="D276" s="7"/>
      <c r="E276" s="7"/>
      <c r="F276" s="7"/>
      <c r="G276" s="7"/>
      <c r="H276" s="5"/>
      <c r="I276" s="8">
        <f>IF(E276="","",IF(OR(E276="kg",E276="g"),"g",IF(OR(E276="l",E276="ml"),"ml",IF(E276="un","un",""))))</f>
      </c>
      <c r="J276" s="9">
        <f>IFERROR(F276/IF(OR(E276="kg",E276="l"),D276*1000,D276),"")</f>
      </c>
      <c r="K276" s="5"/>
    </row>
    <row r="277" spans="1:11" x14ac:dyDescent="0.25">
      <c r="A277" s="7"/>
      <c r="B277" s="7"/>
      <c r="C277" s="7"/>
      <c r="D277" s="7"/>
      <c r="E277" s="7"/>
      <c r="F277" s="7"/>
      <c r="G277" s="7"/>
      <c r="H277" s="5"/>
      <c r="I277" s="8">
        <f>IF(E277="","",IF(OR(E277="kg",E277="g"),"g",IF(OR(E277="l",E277="ml"),"ml",IF(E277="un","un",""))))</f>
      </c>
      <c r="J277" s="9">
        <f>IFERROR(F277/IF(OR(E277="kg",E277="l"),D277*1000,D277),"")</f>
      </c>
      <c r="K277" s="5"/>
    </row>
    <row r="278" spans="1:11" x14ac:dyDescent="0.25">
      <c r="A278" s="7"/>
      <c r="B278" s="7"/>
      <c r="C278" s="7"/>
      <c r="D278" s="7"/>
      <c r="E278" s="7"/>
      <c r="F278" s="7"/>
      <c r="G278" s="7"/>
      <c r="H278" s="5"/>
      <c r="I278" s="8">
        <f>IF(E278="","",IF(OR(E278="kg",E278="g"),"g",IF(OR(E278="l",E278="ml"),"ml",IF(E278="un","un",""))))</f>
      </c>
      <c r="J278" s="9">
        <f>IFERROR(F278/IF(OR(E278="kg",E278="l"),D278*1000,D278),"")</f>
      </c>
      <c r="K278" s="5"/>
    </row>
    <row r="279" spans="1:11" x14ac:dyDescent="0.25">
      <c r="A279" s="7"/>
      <c r="B279" s="7"/>
      <c r="C279" s="7"/>
      <c r="D279" s="7"/>
      <c r="E279" s="7"/>
      <c r="F279" s="7"/>
      <c r="G279" s="7"/>
      <c r="H279" s="5"/>
      <c r="I279" s="8">
        <f>IF(E279="","",IF(OR(E279="kg",E279="g"),"g",IF(OR(E279="l",E279="ml"),"ml",IF(E279="un","un",""))))</f>
      </c>
      <c r="J279" s="9">
        <f>IFERROR(F279/IF(OR(E279="kg",E279="l"),D279*1000,D279),"")</f>
      </c>
      <c r="K279" s="5"/>
    </row>
    <row r="280" spans="1:11" x14ac:dyDescent="0.25">
      <c r="A280" s="7"/>
      <c r="B280" s="7"/>
      <c r="C280" s="7"/>
      <c r="D280" s="7"/>
      <c r="E280" s="7"/>
      <c r="F280" s="7"/>
      <c r="G280" s="7"/>
      <c r="H280" s="5"/>
      <c r="I280" s="8">
        <f>IF(E280="","",IF(OR(E280="kg",E280="g"),"g",IF(OR(E280="l",E280="ml"),"ml",IF(E280="un","un",""))))</f>
      </c>
      <c r="J280" s="9">
        <f>IFERROR(F280/IF(OR(E280="kg",E280="l"),D280*1000,D280),"")</f>
      </c>
      <c r="K280" s="5"/>
    </row>
    <row r="281" spans="1:11" x14ac:dyDescent="0.25">
      <c r="A281" s="7"/>
      <c r="B281" s="7"/>
      <c r="C281" s="7"/>
      <c r="D281" s="7"/>
      <c r="E281" s="7"/>
      <c r="F281" s="7"/>
      <c r="G281" s="7"/>
      <c r="H281" s="5"/>
      <c r="I281" s="8">
        <f>IF(E281="","",IF(OR(E281="kg",E281="g"),"g",IF(OR(E281="l",E281="ml"),"ml",IF(E281="un","un",""))))</f>
      </c>
      <c r="J281" s="9">
        <f>IFERROR(F281/IF(OR(E281="kg",E281="l"),D281*1000,D281),"")</f>
      </c>
      <c r="K281" s="5"/>
    </row>
    <row r="282" spans="1:11" x14ac:dyDescent="0.25">
      <c r="A282" s="7"/>
      <c r="B282" s="7"/>
      <c r="C282" s="7"/>
      <c r="D282" s="7"/>
      <c r="E282" s="7"/>
      <c r="F282" s="7"/>
      <c r="G282" s="7"/>
      <c r="H282" s="5"/>
      <c r="I282" s="8">
        <f>IF(E282="","",IF(OR(E282="kg",E282="g"),"g",IF(OR(E282="l",E282="ml"),"ml",IF(E282="un","un",""))))</f>
      </c>
      <c r="J282" s="9">
        <f>IFERROR(F282/IF(OR(E282="kg",E282="l"),D282*1000,D282),"")</f>
      </c>
      <c r="K282" s="5"/>
    </row>
    <row r="283" spans="1:11" x14ac:dyDescent="0.25">
      <c r="A283" s="7"/>
      <c r="B283" s="7"/>
      <c r="C283" s="7"/>
      <c r="D283" s="7"/>
      <c r="E283" s="7"/>
      <c r="F283" s="7"/>
      <c r="G283" s="7"/>
      <c r="H283" s="5"/>
      <c r="I283" s="8">
        <f>IF(E283="","",IF(OR(E283="kg",E283="g"),"g",IF(OR(E283="l",E283="ml"),"ml",IF(E283="un","un",""))))</f>
      </c>
      <c r="J283" s="9">
        <f>IFERROR(F283/IF(OR(E283="kg",E283="l"),D283*1000,D283),"")</f>
      </c>
      <c r="K283" s="5"/>
    </row>
    <row r="284" spans="1:11" x14ac:dyDescent="0.25">
      <c r="A284" s="7"/>
      <c r="B284" s="7"/>
      <c r="C284" s="7"/>
      <c r="D284" s="7"/>
      <c r="E284" s="7"/>
      <c r="F284" s="7"/>
      <c r="G284" s="7"/>
      <c r="H284" s="5"/>
      <c r="I284" s="8">
        <f>IF(E284="","",IF(OR(E284="kg",E284="g"),"g",IF(OR(E284="l",E284="ml"),"ml",IF(E284="un","un",""))))</f>
      </c>
      <c r="J284" s="9">
        <f>IFERROR(F284/IF(OR(E284="kg",E284="l"),D284*1000,D284),"")</f>
      </c>
      <c r="K284" s="5"/>
    </row>
    <row r="285" spans="1:11" x14ac:dyDescent="0.25">
      <c r="A285" s="7"/>
      <c r="B285" s="7"/>
      <c r="C285" s="7"/>
      <c r="D285" s="7"/>
      <c r="E285" s="7"/>
      <c r="F285" s="7"/>
      <c r="G285" s="7"/>
      <c r="H285" s="5"/>
      <c r="I285" s="8">
        <f>IF(E285="","",IF(OR(E285="kg",E285="g"),"g",IF(OR(E285="l",E285="ml"),"ml",IF(E285="un","un",""))))</f>
      </c>
      <c r="J285" s="9">
        <f>IFERROR(F285/IF(OR(E285="kg",E285="l"),D285*1000,D285),"")</f>
      </c>
      <c r="K285" s="5"/>
    </row>
    <row r="286" spans="1:11" x14ac:dyDescent="0.25">
      <c r="A286" s="7"/>
      <c r="B286" s="7"/>
      <c r="C286" s="7"/>
      <c r="D286" s="7"/>
      <c r="E286" s="7"/>
      <c r="F286" s="7"/>
      <c r="G286" s="7"/>
      <c r="H286" s="5"/>
      <c r="I286" s="8">
        <f>IF(E286="","",IF(OR(E286="kg",E286="g"),"g",IF(OR(E286="l",E286="ml"),"ml",IF(E286="un","un",""))))</f>
      </c>
      <c r="J286" s="9">
        <f>IFERROR(F286/IF(OR(E286="kg",E286="l"),D286*1000,D286),"")</f>
      </c>
      <c r="K286" s="5"/>
    </row>
    <row r="287" spans="1:11" x14ac:dyDescent="0.25">
      <c r="A287" s="7"/>
      <c r="B287" s="7"/>
      <c r="C287" s="7"/>
      <c r="D287" s="7"/>
      <c r="E287" s="7"/>
      <c r="F287" s="7"/>
      <c r="G287" s="7"/>
      <c r="H287" s="5"/>
      <c r="I287" s="8">
        <f>IF(E287="","",IF(OR(E287="kg",E287="g"),"g",IF(OR(E287="l",E287="ml"),"ml",IF(E287="un","un",""))))</f>
      </c>
      <c r="J287" s="9">
        <f>IFERROR(F287/IF(OR(E287="kg",E287="l"),D287*1000,D287),"")</f>
      </c>
      <c r="K287" s="5"/>
    </row>
    <row r="288" spans="1:11" x14ac:dyDescent="0.25">
      <c r="A288" s="7"/>
      <c r="B288" s="7"/>
      <c r="C288" s="7"/>
      <c r="D288" s="7"/>
      <c r="E288" s="7"/>
      <c r="F288" s="7"/>
      <c r="G288" s="7"/>
      <c r="H288" s="5"/>
      <c r="I288" s="8">
        <f>IF(E288="","",IF(OR(E288="kg",E288="g"),"g",IF(OR(E288="l",E288="ml"),"ml",IF(E288="un","un",""))))</f>
      </c>
      <c r="J288" s="9">
        <f>IFERROR(F288/IF(OR(E288="kg",E288="l"),D288*1000,D288),"")</f>
      </c>
      <c r="K288" s="5"/>
    </row>
    <row r="289" spans="1:11" x14ac:dyDescent="0.25">
      <c r="A289" s="7"/>
      <c r="B289" s="7"/>
      <c r="C289" s="7"/>
      <c r="D289" s="7"/>
      <c r="E289" s="7"/>
      <c r="F289" s="7"/>
      <c r="G289" s="7"/>
      <c r="H289" s="5"/>
      <c r="I289" s="8">
        <f>IF(E289="","",IF(OR(E289="kg",E289="g"),"g",IF(OR(E289="l",E289="ml"),"ml",IF(E289="un","un",""))))</f>
      </c>
      <c r="J289" s="9">
        <f>IFERROR(F289/IF(OR(E289="kg",E289="l"),D289*1000,D289),"")</f>
      </c>
      <c r="K289" s="5"/>
    </row>
    <row r="290" spans="1:11" x14ac:dyDescent="0.25">
      <c r="A290" s="7"/>
      <c r="B290" s="7"/>
      <c r="C290" s="7"/>
      <c r="D290" s="7"/>
      <c r="E290" s="7"/>
      <c r="F290" s="7"/>
      <c r="G290" s="7"/>
      <c r="H290" s="5"/>
      <c r="I290" s="8">
        <f>IF(E290="","",IF(OR(E290="kg",E290="g"),"g",IF(OR(E290="l",E290="ml"),"ml",IF(E290="un","un",""))))</f>
      </c>
      <c r="J290" s="9">
        <f>IFERROR(F290/IF(OR(E290="kg",E290="l"),D290*1000,D290),"")</f>
      </c>
      <c r="K290" s="5"/>
    </row>
    <row r="291" spans="1:11" x14ac:dyDescent="0.25">
      <c r="A291" s="7"/>
      <c r="B291" s="7"/>
      <c r="C291" s="7"/>
      <c r="D291" s="7"/>
      <c r="E291" s="7"/>
      <c r="F291" s="7"/>
      <c r="G291" s="7"/>
      <c r="H291" s="5"/>
      <c r="I291" s="8">
        <f>IF(E291="","",IF(OR(E291="kg",E291="g"),"g",IF(OR(E291="l",E291="ml"),"ml",IF(E291="un","un",""))))</f>
      </c>
      <c r="J291" s="9">
        <f>IFERROR(F291/IF(OR(E291="kg",E291="l"),D291*1000,D291),"")</f>
      </c>
      <c r="K291" s="5"/>
    </row>
    <row r="292" spans="1:11" x14ac:dyDescent="0.25">
      <c r="A292" s="7"/>
      <c r="B292" s="7"/>
      <c r="C292" s="7"/>
      <c r="D292" s="7"/>
      <c r="E292" s="7"/>
      <c r="F292" s="7"/>
      <c r="G292" s="7"/>
      <c r="H292" s="5"/>
      <c r="I292" s="8">
        <f>IF(E292="","",IF(OR(E292="kg",E292="g"),"g",IF(OR(E292="l",E292="ml"),"ml",IF(E292="un","un",""))))</f>
      </c>
      <c r="J292" s="9">
        <f>IFERROR(F292/IF(OR(E292="kg",E292="l"),D292*1000,D292),"")</f>
      </c>
      <c r="K292" s="5"/>
    </row>
    <row r="293" spans="1:11" x14ac:dyDescent="0.25">
      <c r="A293" s="7"/>
      <c r="B293" s="7"/>
      <c r="C293" s="7"/>
      <c r="D293" s="7"/>
      <c r="E293" s="7"/>
      <c r="F293" s="7"/>
      <c r="G293" s="7"/>
      <c r="H293" s="5"/>
      <c r="I293" s="8">
        <f>IF(E293="","",IF(OR(E293="kg",E293="g"),"g",IF(OR(E293="l",E293="ml"),"ml",IF(E293="un","un",""))))</f>
      </c>
      <c r="J293" s="9">
        <f>IFERROR(F293/IF(OR(E293="kg",E293="l"),D293*1000,D293),"")</f>
      </c>
      <c r="K293" s="5"/>
    </row>
    <row r="294" spans="1:11" x14ac:dyDescent="0.25">
      <c r="A294" s="7"/>
      <c r="B294" s="7"/>
      <c r="C294" s="7"/>
      <c r="D294" s="7"/>
      <c r="E294" s="7"/>
      <c r="F294" s="7"/>
      <c r="G294" s="7"/>
      <c r="H294" s="5"/>
      <c r="I294" s="8">
        <f>IF(E294="","",IF(OR(E294="kg",E294="g"),"g",IF(OR(E294="l",E294="ml"),"ml",IF(E294="un","un",""))))</f>
      </c>
      <c r="J294" s="9">
        <f>IFERROR(F294/IF(OR(E294="kg",E294="l"),D294*1000,D294),"")</f>
      </c>
      <c r="K294" s="5"/>
    </row>
    <row r="295" spans="1:11" x14ac:dyDescent="0.25">
      <c r="A295" s="7"/>
      <c r="B295" s="7"/>
      <c r="C295" s="7"/>
      <c r="D295" s="7"/>
      <c r="E295" s="7"/>
      <c r="F295" s="7"/>
      <c r="G295" s="7"/>
      <c r="H295" s="5"/>
      <c r="I295" s="8">
        <f>IF(E295="","",IF(OR(E295="kg",E295="g"),"g",IF(OR(E295="l",E295="ml"),"ml",IF(E295="un","un",""))))</f>
      </c>
      <c r="J295" s="9">
        <f>IFERROR(F295/IF(OR(E295="kg",E295="l"),D295*1000,D295),"")</f>
      </c>
      <c r="K295" s="5"/>
    </row>
    <row r="296" spans="1:11" x14ac:dyDescent="0.25">
      <c r="A296" s="7"/>
      <c r="B296" s="7"/>
      <c r="C296" s="7"/>
      <c r="D296" s="7"/>
      <c r="E296" s="7"/>
      <c r="F296" s="7"/>
      <c r="G296" s="7"/>
      <c r="H296" s="5"/>
      <c r="I296" s="8">
        <f>IF(E296="","",IF(OR(E296="kg",E296="g"),"g",IF(OR(E296="l",E296="ml"),"ml",IF(E296="un","un",""))))</f>
      </c>
      <c r="J296" s="9">
        <f>IFERROR(F296/IF(OR(E296="kg",E296="l"),D296*1000,D296),"")</f>
      </c>
      <c r="K296" s="5"/>
    </row>
    <row r="297" spans="1:11" x14ac:dyDescent="0.25">
      <c r="A297" s="7"/>
      <c r="B297" s="7"/>
      <c r="C297" s="7"/>
      <c r="D297" s="7"/>
      <c r="E297" s="7"/>
      <c r="F297" s="7"/>
      <c r="G297" s="7"/>
      <c r="H297" s="5"/>
      <c r="I297" s="8">
        <f>IF(E297="","",IF(OR(E297="kg",E297="g"),"g",IF(OR(E297="l",E297="ml"),"ml",IF(E297="un","un",""))))</f>
      </c>
      <c r="J297" s="9">
        <f>IFERROR(F297/IF(OR(E297="kg",E297="l"),D297*1000,D297),"")</f>
      </c>
      <c r="K297" s="5"/>
    </row>
    <row r="298" spans="1:11" x14ac:dyDescent="0.25">
      <c r="A298" s="7"/>
      <c r="B298" s="7"/>
      <c r="C298" s="7"/>
      <c r="D298" s="7"/>
      <c r="E298" s="7"/>
      <c r="F298" s="7"/>
      <c r="G298" s="7"/>
      <c r="H298" s="5"/>
      <c r="I298" s="8">
        <f>IF(E298="","",IF(OR(E298="kg",E298="g"),"g",IF(OR(E298="l",E298="ml"),"ml",IF(E298="un","un",""))))</f>
      </c>
      <c r="J298" s="9">
        <f>IFERROR(F298/IF(OR(E298="kg",E298="l"),D298*1000,D298),"")</f>
      </c>
      <c r="K298" s="5"/>
    </row>
    <row r="299" spans="1:11" x14ac:dyDescent="0.25">
      <c r="A299" s="7"/>
      <c r="B299" s="7"/>
      <c r="C299" s="7"/>
      <c r="D299" s="7"/>
      <c r="E299" s="7"/>
      <c r="F299" s="7"/>
      <c r="G299" s="7"/>
      <c r="H299" s="5"/>
      <c r="I299" s="8">
        <f>IF(E299="","",IF(OR(E299="kg",E299="g"),"g",IF(OR(E299="l",E299="ml"),"ml",IF(E299="un","un",""))))</f>
      </c>
      <c r="J299" s="9">
        <f>IFERROR(F299/IF(OR(E299="kg",E299="l"),D299*1000,D299),"")</f>
      </c>
      <c r="K299" s="5"/>
    </row>
    <row r="300" spans="1:11" x14ac:dyDescent="0.25">
      <c r="A300" s="7"/>
      <c r="B300" s="7"/>
      <c r="C300" s="7"/>
      <c r="D300" s="7"/>
      <c r="E300" s="7"/>
      <c r="F300" s="7"/>
      <c r="G300" s="7"/>
      <c r="H300" s="5"/>
      <c r="I300" s="8">
        <f>IF(E300="","",IF(OR(E300="kg",E300="g"),"g",IF(OR(E300="l",E300="ml"),"ml",IF(E300="un","un",""))))</f>
      </c>
      <c r="J300" s="9">
        <f>IFERROR(F300/IF(OR(E300="kg",E300="l"),D300*1000,D300),"")</f>
      </c>
      <c r="K300" s="5"/>
    </row>
    <row r="301" spans="1:11" x14ac:dyDescent="0.25">
      <c r="A301" s="7"/>
      <c r="B301" s="7"/>
      <c r="C301" s="7"/>
      <c r="D301" s="7"/>
      <c r="E301" s="7"/>
      <c r="F301" s="7"/>
      <c r="G301" s="7"/>
      <c r="H301" s="5"/>
      <c r="I301" s="8">
        <f>IF(E301="","",IF(OR(E301="kg",E301="g"),"g",IF(OR(E301="l",E301="ml"),"ml",IF(E301="un","un",""))))</f>
      </c>
      <c r="J301" s="9">
        <f>IFERROR(F301/IF(OR(E301="kg",E301="l"),D301*1000,D301),"")</f>
      </c>
      <c r="K301" s="5"/>
    </row>
    <row r="302" spans="1:11" x14ac:dyDescent="0.25">
      <c r="A302" s="7"/>
      <c r="B302" s="7"/>
      <c r="C302" s="7"/>
      <c r="D302" s="7"/>
      <c r="E302" s="7"/>
      <c r="F302" s="7"/>
      <c r="G302" s="7"/>
      <c r="H302" s="5"/>
      <c r="I302" s="8">
        <f>IF(E302="","",IF(OR(E302="kg",E302="g"),"g",IF(OR(E302="l",E302="ml"),"ml",IF(E302="un","un",""))))</f>
      </c>
      <c r="J302" s="9">
        <f>IFERROR(F302/IF(OR(E302="kg",E302="l"),D302*1000,D302),"")</f>
      </c>
      <c r="K302" s="5"/>
    </row>
    <row r="303" spans="1:11" x14ac:dyDescent="0.25">
      <c r="A303" s="7"/>
      <c r="B303" s="7"/>
      <c r="C303" s="7"/>
      <c r="D303" s="7"/>
      <c r="E303" s="7"/>
      <c r="F303" s="7"/>
      <c r="G303" s="7"/>
      <c r="H303" s="5"/>
      <c r="I303" s="8">
        <f>IF(E303="","",IF(OR(E303="kg",E303="g"),"g",IF(OR(E303="l",E303="ml"),"ml",IF(E303="un","un",""))))</f>
      </c>
      <c r="J303" s="9">
        <f>IFERROR(F303/IF(OR(E303="kg",E303="l"),D303*1000,D303),"")</f>
      </c>
      <c r="K303" s="5"/>
    </row>
    <row r="304" spans="1:11" x14ac:dyDescent="0.25">
      <c r="A304" s="7"/>
      <c r="B304" s="7"/>
      <c r="C304" s="7"/>
      <c r="D304" s="7"/>
      <c r="E304" s="7"/>
      <c r="F304" s="7"/>
      <c r="G304" s="7"/>
      <c r="H304" s="5"/>
      <c r="I304" s="8">
        <f>IF(E304="","",IF(OR(E304="kg",E304="g"),"g",IF(OR(E304="l",E304="ml"),"ml",IF(E304="un","un",""))))</f>
      </c>
      <c r="J304" s="9">
        <f>IFERROR(F304/IF(OR(E304="kg",E304="l"),D304*1000,D304),"")</f>
      </c>
      <c r="K304" s="5"/>
    </row>
    <row r="305" spans="1:11" x14ac:dyDescent="0.25">
      <c r="A305" s="7"/>
      <c r="B305" s="7"/>
      <c r="C305" s="7"/>
      <c r="D305" s="7"/>
      <c r="E305" s="7"/>
      <c r="F305" s="7"/>
      <c r="G305" s="7"/>
      <c r="H305" s="5"/>
      <c r="I305" s="8">
        <f>IF(E305="","",IF(OR(E305="kg",E305="g"),"g",IF(OR(E305="l",E305="ml"),"ml",IF(E305="un","un",""))))</f>
      </c>
      <c r="J305" s="9">
        <f>IFERROR(F305/IF(OR(E305="kg",E305="l"),D305*1000,D305),"")</f>
      </c>
      <c r="K305" s="5"/>
    </row>
    <row r="306" spans="1:11" x14ac:dyDescent="0.25">
      <c r="A306" s="7"/>
      <c r="B306" s="7"/>
      <c r="C306" s="7"/>
      <c r="D306" s="7"/>
      <c r="E306" s="7"/>
      <c r="F306" s="7"/>
      <c r="G306" s="7"/>
      <c r="H306" s="5"/>
      <c r="I306" s="8">
        <f>IF(E306="","",IF(OR(E306="kg",E306="g"),"g",IF(OR(E306="l",E306="ml"),"ml",IF(E306="un","un",""))))</f>
      </c>
      <c r="J306" s="9">
        <f>IFERROR(F306/IF(OR(E306="kg",E306="l"),D306*1000,D306),"")</f>
      </c>
      <c r="K306" s="5"/>
    </row>
    <row r="307" spans="1:11" x14ac:dyDescent="0.25">
      <c r="A307" s="7"/>
      <c r="B307" s="7"/>
      <c r="C307" s="7"/>
      <c r="D307" s="7"/>
      <c r="E307" s="7"/>
      <c r="F307" s="7"/>
      <c r="G307" s="7"/>
      <c r="H307" s="5"/>
      <c r="I307" s="8">
        <f>IF(E307="","",IF(OR(E307="kg",E307="g"),"g",IF(OR(E307="l",E307="ml"),"ml",IF(E307="un","un",""))))</f>
      </c>
      <c r="J307" s="9">
        <f>IFERROR(F307/IF(OR(E307="kg",E307="l"),D307*1000,D307),"")</f>
      </c>
      <c r="K307" s="5"/>
    </row>
    <row r="308" spans="1:11" x14ac:dyDescent="0.25">
      <c r="A308" s="7"/>
      <c r="B308" s="7"/>
      <c r="C308" s="7"/>
      <c r="D308" s="7"/>
      <c r="E308" s="7"/>
      <c r="F308" s="7"/>
      <c r="G308" s="7"/>
      <c r="H308" s="5"/>
      <c r="I308" s="8">
        <f>IF(E308="","",IF(OR(E308="kg",E308="g"),"g",IF(OR(E308="l",E308="ml"),"ml",IF(E308="un","un",""))))</f>
      </c>
      <c r="J308" s="9">
        <f>IFERROR(F308/IF(OR(E308="kg",E308="l"),D308*1000,D308),"")</f>
      </c>
      <c r="K308" s="5"/>
    </row>
    <row r="309" spans="1:11" x14ac:dyDescent="0.25">
      <c r="A309" s="7"/>
      <c r="B309" s="7"/>
      <c r="C309" s="7"/>
      <c r="D309" s="7"/>
      <c r="E309" s="7"/>
      <c r="F309" s="7"/>
      <c r="G309" s="7"/>
      <c r="H309" s="5"/>
      <c r="I309" s="8">
        <f>IF(E309="","",IF(OR(E309="kg",E309="g"),"g",IF(OR(E309="l",E309="ml"),"ml",IF(E309="un","un",""))))</f>
      </c>
      <c r="J309" s="9">
        <f>IFERROR(F309/IF(OR(E309="kg",E309="l"),D309*1000,D309),"")</f>
      </c>
      <c r="K309" s="5"/>
    </row>
    <row r="310" spans="1:11" x14ac:dyDescent="0.25">
      <c r="A310" s="7"/>
      <c r="B310" s="7"/>
      <c r="C310" s="7"/>
      <c r="D310" s="7"/>
      <c r="E310" s="7"/>
      <c r="F310" s="7"/>
      <c r="G310" s="7"/>
      <c r="H310" s="5"/>
      <c r="I310" s="8">
        <f>IF(E310="","",IF(OR(E310="kg",E310="g"),"g",IF(OR(E310="l",E310="ml"),"ml",IF(E310="un","un",""))))</f>
      </c>
      <c r="J310" s="9">
        <f>IFERROR(F310/IF(OR(E310="kg",E310="l"),D310*1000,D310),"")</f>
      </c>
      <c r="K310" s="5"/>
    </row>
    <row r="311" spans="1:11" x14ac:dyDescent="0.25">
      <c r="A311" s="7"/>
      <c r="B311" s="7"/>
      <c r="C311" s="7"/>
      <c r="D311" s="7"/>
      <c r="E311" s="7"/>
      <c r="F311" s="7"/>
      <c r="G311" s="7"/>
      <c r="H311" s="5"/>
      <c r="I311" s="8">
        <f>IF(E311="","",IF(OR(E311="kg",E311="g"),"g",IF(OR(E311="l",E311="ml"),"ml",IF(E311="un","un",""))))</f>
      </c>
      <c r="J311" s="9">
        <f>IFERROR(F311/IF(OR(E311="kg",E311="l"),D311*1000,D311),"")</f>
      </c>
      <c r="K311" s="5"/>
    </row>
    <row r="312" spans="1:11" x14ac:dyDescent="0.25">
      <c r="A312" s="7"/>
      <c r="B312" s="7"/>
      <c r="C312" s="7"/>
      <c r="D312" s="7"/>
      <c r="E312" s="7"/>
      <c r="F312" s="7"/>
      <c r="G312" s="7"/>
      <c r="H312" s="5"/>
      <c r="I312" s="8">
        <f>IF(E312="","",IF(OR(E312="kg",E312="g"),"g",IF(OR(E312="l",E312="ml"),"ml",IF(E312="un","un",""))))</f>
      </c>
      <c r="J312" s="9">
        <f>IFERROR(F312/IF(OR(E312="kg",E312="l"),D312*1000,D312),"")</f>
      </c>
      <c r="K312" s="5"/>
    </row>
    <row r="313" spans="1:11" x14ac:dyDescent="0.25">
      <c r="A313" s="7"/>
      <c r="B313" s="7"/>
      <c r="C313" s="7"/>
      <c r="D313" s="7"/>
      <c r="E313" s="7"/>
      <c r="F313" s="7"/>
      <c r="G313" s="7"/>
      <c r="H313" s="5"/>
      <c r="I313" s="8">
        <f>IF(E313="","",IF(OR(E313="kg",E313="g"),"g",IF(OR(E313="l",E313="ml"),"ml",IF(E313="un","un",""))))</f>
      </c>
      <c r="J313" s="9">
        <f>IFERROR(F313/IF(OR(E313="kg",E313="l"),D313*1000,D313),"")</f>
      </c>
      <c r="K313" s="5"/>
    </row>
    <row r="314" spans="1:11" x14ac:dyDescent="0.25">
      <c r="A314" s="7"/>
      <c r="B314" s="7"/>
      <c r="C314" s="7"/>
      <c r="D314" s="7"/>
      <c r="E314" s="7"/>
      <c r="F314" s="7"/>
      <c r="G314" s="7"/>
      <c r="H314" s="5"/>
      <c r="I314" s="8">
        <f>IF(E314="","",IF(OR(E314="kg",E314="g"),"g",IF(OR(E314="l",E314="ml"),"ml",IF(E314="un","un",""))))</f>
      </c>
      <c r="J314" s="9">
        <f>IFERROR(F314/IF(OR(E314="kg",E314="l"),D314*1000,D314),"")</f>
      </c>
      <c r="K314" s="5"/>
    </row>
    <row r="315" spans="1:11" x14ac:dyDescent="0.25">
      <c r="A315" s="7"/>
      <c r="B315" s="7"/>
      <c r="C315" s="7"/>
      <c r="D315" s="7"/>
      <c r="E315" s="7"/>
      <c r="F315" s="7"/>
      <c r="G315" s="7"/>
      <c r="H315" s="5"/>
      <c r="I315" s="8">
        <f>IF(E315="","",IF(OR(E315="kg",E315="g"),"g",IF(OR(E315="l",E315="ml"),"ml",IF(E315="un","un",""))))</f>
      </c>
      <c r="J315" s="9">
        <f>IFERROR(F315/IF(OR(E315="kg",E315="l"),D315*1000,D315),"")</f>
      </c>
      <c r="K315" s="5"/>
    </row>
    <row r="316" spans="1:11" x14ac:dyDescent="0.25">
      <c r="A316" s="7"/>
      <c r="B316" s="7"/>
      <c r="C316" s="7"/>
      <c r="D316" s="7"/>
      <c r="E316" s="7"/>
      <c r="F316" s="7"/>
      <c r="G316" s="7"/>
      <c r="H316" s="5"/>
      <c r="I316" s="8">
        <f>IF(E316="","",IF(OR(E316="kg",E316="g"),"g",IF(OR(E316="l",E316="ml"),"ml",IF(E316="un","un",""))))</f>
      </c>
      <c r="J316" s="9">
        <f>IFERROR(F316/IF(OR(E316="kg",E316="l"),D316*1000,D316),"")</f>
      </c>
      <c r="K316" s="5"/>
    </row>
    <row r="317" spans="1:11" x14ac:dyDescent="0.25">
      <c r="A317" s="7"/>
      <c r="B317" s="7"/>
      <c r="C317" s="7"/>
      <c r="D317" s="7"/>
      <c r="E317" s="7"/>
      <c r="F317" s="7"/>
      <c r="G317" s="7"/>
      <c r="H317" s="5"/>
      <c r="I317" s="8">
        <f>IF(E317="","",IF(OR(E317="kg",E317="g"),"g",IF(OR(E317="l",E317="ml"),"ml",IF(E317="un","un",""))))</f>
      </c>
      <c r="J317" s="9">
        <f>IFERROR(F317/IF(OR(E317="kg",E317="l"),D317*1000,D317),"")</f>
      </c>
      <c r="K317" s="5"/>
    </row>
    <row r="318" spans="1:11" x14ac:dyDescent="0.25">
      <c r="A318" s="7"/>
      <c r="B318" s="7"/>
      <c r="C318" s="7"/>
      <c r="D318" s="7"/>
      <c r="E318" s="7"/>
      <c r="F318" s="7"/>
      <c r="G318" s="7"/>
      <c r="H318" s="5"/>
      <c r="I318" s="8">
        <f>IF(E318="","",IF(OR(E318="kg",E318="g"),"g",IF(OR(E318="l",E318="ml"),"ml",IF(E318="un","un",""))))</f>
      </c>
      <c r="J318" s="9">
        <f>IFERROR(F318/IF(OR(E318="kg",E318="l"),D318*1000,D318),"")</f>
      </c>
      <c r="K318" s="5"/>
    </row>
    <row r="319" spans="1:11" x14ac:dyDescent="0.25">
      <c r="A319" s="7"/>
      <c r="B319" s="7"/>
      <c r="C319" s="7"/>
      <c r="D319" s="7"/>
      <c r="E319" s="7"/>
      <c r="F319" s="7"/>
      <c r="G319" s="7"/>
      <c r="H319" s="5"/>
      <c r="I319" s="8">
        <f>IF(E319="","",IF(OR(E319="kg",E319="g"),"g",IF(OR(E319="l",E319="ml"),"ml",IF(E319="un","un",""))))</f>
      </c>
      <c r="J319" s="9">
        <f>IFERROR(F319/IF(OR(E319="kg",E319="l"),D319*1000,D319),"")</f>
      </c>
      <c r="K319" s="5"/>
    </row>
    <row r="320" spans="1:11" x14ac:dyDescent="0.25">
      <c r="A320" s="7"/>
      <c r="B320" s="7"/>
      <c r="C320" s="7"/>
      <c r="D320" s="7"/>
      <c r="E320" s="7"/>
      <c r="F320" s="7"/>
      <c r="G320" s="7"/>
      <c r="H320" s="5"/>
      <c r="I320" s="8">
        <f>IF(E320="","",IF(OR(E320="kg",E320="g"),"g",IF(OR(E320="l",E320="ml"),"ml",IF(E320="un","un",""))))</f>
      </c>
      <c r="J320" s="9">
        <f>IFERROR(F320/IF(OR(E320="kg",E320="l"),D320*1000,D320),"")</f>
      </c>
      <c r="K320" s="5"/>
    </row>
    <row r="321" spans="1:11" x14ac:dyDescent="0.25">
      <c r="A321" s="7"/>
      <c r="B321" s="7"/>
      <c r="C321" s="7"/>
      <c r="D321" s="7"/>
      <c r="E321" s="7"/>
      <c r="F321" s="7"/>
      <c r="G321" s="7"/>
      <c r="H321" s="5"/>
      <c r="I321" s="8">
        <f>IF(E321="","",IF(OR(E321="kg",E321="g"),"g",IF(OR(E321="l",E321="ml"),"ml",IF(E321="un","un",""))))</f>
      </c>
      <c r="J321" s="9">
        <f>IFERROR(F321/IF(OR(E321="kg",E321="l"),D321*1000,D321),"")</f>
      </c>
      <c r="K321" s="5"/>
    </row>
    <row r="322" spans="1:11" x14ac:dyDescent="0.25">
      <c r="A322" s="7"/>
      <c r="B322" s="7"/>
      <c r="C322" s="7"/>
      <c r="D322" s="7"/>
      <c r="E322" s="7"/>
      <c r="F322" s="7"/>
      <c r="G322" s="7"/>
      <c r="H322" s="5"/>
      <c r="I322" s="8">
        <f>IF(E322="","",IF(OR(E322="kg",E322="g"),"g",IF(OR(E322="l",E322="ml"),"ml",IF(E322="un","un",""))))</f>
      </c>
      <c r="J322" s="9">
        <f>IFERROR(F322/IF(OR(E322="kg",E322="l"),D322*1000,D322),"")</f>
      </c>
      <c r="K322" s="5"/>
    </row>
    <row r="323" spans="1:11" x14ac:dyDescent="0.25">
      <c r="A323" s="7"/>
      <c r="B323" s="7"/>
      <c r="C323" s="7"/>
      <c r="D323" s="7"/>
      <c r="E323" s="7"/>
      <c r="F323" s="7"/>
      <c r="G323" s="7"/>
      <c r="H323" s="5"/>
      <c r="I323" s="8">
        <f>IF(E323="","",IF(OR(E323="kg",E323="g"),"g",IF(OR(E323="l",E323="ml"),"ml",IF(E323="un","un",""))))</f>
      </c>
      <c r="J323" s="9">
        <f>IFERROR(F323/IF(OR(E323="kg",E323="l"),D323*1000,D323),"")</f>
      </c>
      <c r="K323" s="5"/>
    </row>
    <row r="324" spans="1:11" x14ac:dyDescent="0.25">
      <c r="A324" s="7"/>
      <c r="B324" s="7"/>
      <c r="C324" s="7"/>
      <c r="D324" s="7"/>
      <c r="E324" s="7"/>
      <c r="F324" s="7"/>
      <c r="G324" s="7"/>
      <c r="H324" s="5"/>
      <c r="I324" s="8">
        <f>IF(E324="","",IF(OR(E324="kg",E324="g"),"g",IF(OR(E324="l",E324="ml"),"ml",IF(E324="un","un",""))))</f>
      </c>
      <c r="J324" s="9">
        <f>IFERROR(F324/IF(OR(E324="kg",E324="l"),D324*1000,D324),"")</f>
      </c>
      <c r="K324" s="5"/>
    </row>
    <row r="325" spans="1:11" x14ac:dyDescent="0.25">
      <c r="A325" s="7"/>
      <c r="B325" s="7"/>
      <c r="C325" s="7"/>
      <c r="D325" s="7"/>
      <c r="E325" s="7"/>
      <c r="F325" s="7"/>
      <c r="G325" s="7"/>
      <c r="H325" s="5"/>
      <c r="I325" s="8">
        <f>IF(E325="","",IF(OR(E325="kg",E325="g"),"g",IF(OR(E325="l",E325="ml"),"ml",IF(E325="un","un",""))))</f>
      </c>
      <c r="J325" s="9">
        <f>IFERROR(F325/IF(OR(E325="kg",E325="l"),D325*1000,D325),"")</f>
      </c>
      <c r="K325" s="5"/>
    </row>
    <row r="326" spans="1:11" x14ac:dyDescent="0.25">
      <c r="A326" s="7"/>
      <c r="B326" s="7"/>
      <c r="C326" s="7"/>
      <c r="D326" s="7"/>
      <c r="E326" s="7"/>
      <c r="F326" s="7"/>
      <c r="G326" s="7"/>
      <c r="H326" s="5"/>
      <c r="I326" s="8">
        <f>IF(E326="","",IF(OR(E326="kg",E326="g"),"g",IF(OR(E326="l",E326="ml"),"ml",IF(E326="un","un",""))))</f>
      </c>
      <c r="J326" s="9">
        <f>IFERROR(F326/IF(OR(E326="kg",E326="l"),D326*1000,D326),"")</f>
      </c>
      <c r="K326" s="5"/>
    </row>
    <row r="327" spans="1:11" x14ac:dyDescent="0.25">
      <c r="A327" s="7"/>
      <c r="B327" s="7"/>
      <c r="C327" s="7"/>
      <c r="D327" s="7"/>
      <c r="E327" s="7"/>
      <c r="F327" s="7"/>
      <c r="G327" s="7"/>
      <c r="H327" s="5"/>
      <c r="I327" s="8">
        <f>IF(E327="","",IF(OR(E327="kg",E327="g"),"g",IF(OR(E327="l",E327="ml"),"ml",IF(E327="un","un",""))))</f>
      </c>
      <c r="J327" s="9">
        <f>IFERROR(F327/IF(OR(E327="kg",E327="l"),D327*1000,D327),"")</f>
      </c>
      <c r="K327" s="5"/>
    </row>
    <row r="328" spans="1:11" x14ac:dyDescent="0.25">
      <c r="A328" s="7"/>
      <c r="B328" s="7"/>
      <c r="C328" s="7"/>
      <c r="D328" s="7"/>
      <c r="E328" s="7"/>
      <c r="F328" s="7"/>
      <c r="G328" s="7"/>
      <c r="H328" s="5"/>
      <c r="I328" s="8">
        <f>IF(E328="","",IF(OR(E328="kg",E328="g"),"g",IF(OR(E328="l",E328="ml"),"ml",IF(E328="un","un",""))))</f>
      </c>
      <c r="J328" s="9">
        <f>IFERROR(F328/IF(OR(E328="kg",E328="l"),D328*1000,D328),"")</f>
      </c>
      <c r="K328" s="5"/>
    </row>
    <row r="329" spans="1:11" x14ac:dyDescent="0.25">
      <c r="A329" s="7"/>
      <c r="B329" s="7"/>
      <c r="C329" s="7"/>
      <c r="D329" s="7"/>
      <c r="E329" s="7"/>
      <c r="F329" s="7"/>
      <c r="G329" s="7"/>
      <c r="H329" s="5"/>
      <c r="I329" s="8">
        <f>IF(E329="","",IF(OR(E329="kg",E329="g"),"g",IF(OR(E329="l",E329="ml"),"ml",IF(E329="un","un",""))))</f>
      </c>
      <c r="J329" s="9">
        <f>IFERROR(F329/IF(OR(E329="kg",E329="l"),D329*1000,D329),"")</f>
      </c>
      <c r="K329" s="5"/>
    </row>
    <row r="330" spans="1:11" x14ac:dyDescent="0.25">
      <c r="A330" s="7"/>
      <c r="B330" s="7"/>
      <c r="C330" s="7"/>
      <c r="D330" s="7"/>
      <c r="E330" s="7"/>
      <c r="F330" s="7"/>
      <c r="G330" s="7"/>
      <c r="H330" s="5"/>
      <c r="I330" s="8">
        <f>IF(E330="","",IF(OR(E330="kg",E330="g"),"g",IF(OR(E330="l",E330="ml"),"ml",IF(E330="un","un",""))))</f>
      </c>
      <c r="J330" s="9">
        <f>IFERROR(F330/IF(OR(E330="kg",E330="l"),D330*1000,D330),"")</f>
      </c>
      <c r="K330" s="5"/>
    </row>
    <row r="331" spans="1:11" x14ac:dyDescent="0.25">
      <c r="A331" s="7"/>
      <c r="B331" s="7"/>
      <c r="C331" s="7"/>
      <c r="D331" s="7"/>
      <c r="E331" s="7"/>
      <c r="F331" s="7"/>
      <c r="G331" s="7"/>
      <c r="H331" s="5"/>
      <c r="I331" s="8">
        <f>IF(E331="","",IF(OR(E331="kg",E331="g"),"g",IF(OR(E331="l",E331="ml"),"ml",IF(E331="un","un",""))))</f>
      </c>
      <c r="J331" s="9">
        <f>IFERROR(F331/IF(OR(E331="kg",E331="l"),D331*1000,D331),"")</f>
      </c>
      <c r="K331" s="5"/>
    </row>
    <row r="332" spans="1:11" x14ac:dyDescent="0.25">
      <c r="A332" s="7"/>
      <c r="B332" s="7"/>
      <c r="C332" s="7"/>
      <c r="D332" s="7"/>
      <c r="E332" s="7"/>
      <c r="F332" s="7"/>
      <c r="G332" s="7"/>
      <c r="H332" s="5"/>
      <c r="I332" s="8">
        <f>IF(E332="","",IF(OR(E332="kg",E332="g"),"g",IF(OR(E332="l",E332="ml"),"ml",IF(E332="un","un",""))))</f>
      </c>
      <c r="J332" s="9">
        <f>IFERROR(F332/IF(OR(E332="kg",E332="l"),D332*1000,D332),"")</f>
      </c>
      <c r="K332" s="5"/>
    </row>
    <row r="333" spans="1:11" x14ac:dyDescent="0.25">
      <c r="A333" s="7"/>
      <c r="B333" s="7"/>
      <c r="C333" s="7"/>
      <c r="D333" s="7"/>
      <c r="E333" s="7"/>
      <c r="F333" s="7"/>
      <c r="G333" s="7"/>
      <c r="H333" s="5"/>
      <c r="I333" s="8">
        <f>IF(E333="","",IF(OR(E333="kg",E333="g"),"g",IF(OR(E333="l",E333="ml"),"ml",IF(E333="un","un",""))))</f>
      </c>
      <c r="J333" s="9">
        <f>IFERROR(F333/IF(OR(E333="kg",E333="l"),D333*1000,D333),"")</f>
      </c>
      <c r="K333" s="5"/>
    </row>
    <row r="334" spans="1:11" x14ac:dyDescent="0.25">
      <c r="A334" s="7"/>
      <c r="B334" s="7"/>
      <c r="C334" s="7"/>
      <c r="D334" s="7"/>
      <c r="E334" s="7"/>
      <c r="F334" s="7"/>
      <c r="G334" s="7"/>
      <c r="H334" s="5"/>
      <c r="I334" s="8">
        <f>IF(E334="","",IF(OR(E334="kg",E334="g"),"g",IF(OR(E334="l",E334="ml"),"ml",IF(E334="un","un",""))))</f>
      </c>
      <c r="J334" s="9">
        <f>IFERROR(F334/IF(OR(E334="kg",E334="l"),D334*1000,D334),"")</f>
      </c>
      <c r="K334" s="5"/>
    </row>
    <row r="335" spans="1:11" x14ac:dyDescent="0.25">
      <c r="A335" s="7"/>
      <c r="B335" s="7"/>
      <c r="C335" s="7"/>
      <c r="D335" s="7"/>
      <c r="E335" s="7"/>
      <c r="F335" s="7"/>
      <c r="G335" s="7"/>
      <c r="H335" s="5"/>
      <c r="I335" s="8">
        <f>IF(E335="","",IF(OR(E335="kg",E335="g"),"g",IF(OR(E335="l",E335="ml"),"ml",IF(E335="un","un",""))))</f>
      </c>
      <c r="J335" s="9">
        <f>IFERROR(F335/IF(OR(E335="kg",E335="l"),D335*1000,D335),"")</f>
      </c>
      <c r="K335" s="5"/>
    </row>
    <row r="336" spans="1:11" x14ac:dyDescent="0.25">
      <c r="A336" s="7"/>
      <c r="B336" s="7"/>
      <c r="C336" s="7"/>
      <c r="D336" s="7"/>
      <c r="E336" s="7"/>
      <c r="F336" s="7"/>
      <c r="G336" s="7"/>
      <c r="H336" s="5"/>
      <c r="I336" s="8">
        <f>IF(E336="","",IF(OR(E336="kg",E336="g"),"g",IF(OR(E336="l",E336="ml"),"ml",IF(E336="un","un",""))))</f>
      </c>
      <c r="J336" s="9">
        <f>IFERROR(F336/IF(OR(E336="kg",E336="l"),D336*1000,D336),"")</f>
      </c>
      <c r="K336" s="5"/>
    </row>
    <row r="337" spans="1:11" x14ac:dyDescent="0.25">
      <c r="A337" s="7"/>
      <c r="B337" s="7"/>
      <c r="C337" s="7"/>
      <c r="D337" s="7"/>
      <c r="E337" s="7"/>
      <c r="F337" s="7"/>
      <c r="G337" s="7"/>
      <c r="H337" s="5"/>
      <c r="I337" s="8">
        <f>IF(E337="","",IF(OR(E337="kg",E337="g"),"g",IF(OR(E337="l",E337="ml"),"ml",IF(E337="un","un",""))))</f>
      </c>
      <c r="J337" s="9">
        <f>IFERROR(F337/IF(OR(E337="kg",E337="l"),D337*1000,D337),"")</f>
      </c>
      <c r="K337" s="5"/>
    </row>
    <row r="338" spans="1:11" x14ac:dyDescent="0.25">
      <c r="A338" s="7"/>
      <c r="B338" s="7"/>
      <c r="C338" s="7"/>
      <c r="D338" s="7"/>
      <c r="E338" s="7"/>
      <c r="F338" s="7"/>
      <c r="G338" s="7"/>
      <c r="H338" s="5"/>
      <c r="I338" s="8">
        <f>IF(E338="","",IF(OR(E338="kg",E338="g"),"g",IF(OR(E338="l",E338="ml"),"ml",IF(E338="un","un",""))))</f>
      </c>
      <c r="J338" s="9">
        <f>IFERROR(F338/IF(OR(E338="kg",E338="l"),D338*1000,D338),"")</f>
      </c>
      <c r="K338" s="5"/>
    </row>
    <row r="339" spans="1:11" x14ac:dyDescent="0.25">
      <c r="A339" s="7"/>
      <c r="B339" s="7"/>
      <c r="C339" s="7"/>
      <c r="D339" s="7"/>
      <c r="E339" s="7"/>
      <c r="F339" s="7"/>
      <c r="G339" s="7"/>
      <c r="H339" s="5"/>
      <c r="I339" s="8">
        <f>IF(E339="","",IF(OR(E339="kg",E339="g"),"g",IF(OR(E339="l",E339="ml"),"ml",IF(E339="un","un",""))))</f>
      </c>
      <c r="J339" s="9">
        <f>IFERROR(F339/IF(OR(E339="kg",E339="l"),D339*1000,D339),"")</f>
      </c>
      <c r="K339" s="5"/>
    </row>
    <row r="340" spans="1:11" x14ac:dyDescent="0.25">
      <c r="A340" s="7"/>
      <c r="B340" s="7"/>
      <c r="C340" s="7"/>
      <c r="D340" s="7"/>
      <c r="E340" s="7"/>
      <c r="F340" s="7"/>
      <c r="G340" s="7"/>
      <c r="H340" s="5"/>
      <c r="I340" s="8">
        <f>IF(E340="","",IF(OR(E340="kg",E340="g"),"g",IF(OR(E340="l",E340="ml"),"ml",IF(E340="un","un",""))))</f>
      </c>
      <c r="J340" s="9">
        <f>IFERROR(F340/IF(OR(E340="kg",E340="l"),D340*1000,D340),"")</f>
      </c>
      <c r="K340" s="5"/>
    </row>
    <row r="341" spans="1:11" x14ac:dyDescent="0.25">
      <c r="A341" s="7"/>
      <c r="B341" s="7"/>
      <c r="C341" s="7"/>
      <c r="D341" s="7"/>
      <c r="E341" s="7"/>
      <c r="F341" s="7"/>
      <c r="G341" s="7"/>
      <c r="H341" s="5"/>
      <c r="I341" s="8">
        <f>IF(E341="","",IF(OR(E341="kg",E341="g"),"g",IF(OR(E341="l",E341="ml"),"ml",IF(E341="un","un",""))))</f>
      </c>
      <c r="J341" s="9">
        <f>IFERROR(F341/IF(OR(E341="kg",E341="l"),D341*1000,D341),"")</f>
      </c>
      <c r="K341" s="5"/>
    </row>
    <row r="342" spans="1:11" x14ac:dyDescent="0.25">
      <c r="A342" s="7"/>
      <c r="B342" s="7"/>
      <c r="C342" s="7"/>
      <c r="D342" s="7"/>
      <c r="E342" s="7"/>
      <c r="F342" s="7"/>
      <c r="G342" s="7"/>
      <c r="H342" s="5"/>
      <c r="I342" s="8">
        <f>IF(E342="","",IF(OR(E342="kg",E342="g"),"g",IF(OR(E342="l",E342="ml"),"ml",IF(E342="un","un",""))))</f>
      </c>
      <c r="J342" s="9">
        <f>IFERROR(F342/IF(OR(E342="kg",E342="l"),D342*1000,D342),"")</f>
      </c>
      <c r="K342" s="5"/>
    </row>
    <row r="343" spans="1:11" x14ac:dyDescent="0.25">
      <c r="A343" s="7"/>
      <c r="B343" s="7"/>
      <c r="C343" s="7"/>
      <c r="D343" s="7"/>
      <c r="E343" s="7"/>
      <c r="F343" s="7"/>
      <c r="G343" s="7"/>
      <c r="H343" s="5"/>
      <c r="I343" s="8">
        <f>IF(E343="","",IF(OR(E343="kg",E343="g"),"g",IF(OR(E343="l",E343="ml"),"ml",IF(E343="un","un",""))))</f>
      </c>
      <c r="J343" s="9">
        <f>IFERROR(F343/IF(OR(E343="kg",E343="l"),D343*1000,D343),"")</f>
      </c>
      <c r="K343" s="5"/>
    </row>
    <row r="344" spans="1:11" x14ac:dyDescent="0.25">
      <c r="A344" s="7"/>
      <c r="B344" s="7"/>
      <c r="C344" s="7"/>
      <c r="D344" s="7"/>
      <c r="E344" s="7"/>
      <c r="F344" s="7"/>
      <c r="G344" s="7"/>
      <c r="H344" s="5"/>
      <c r="I344" s="8">
        <f>IF(E344="","",IF(OR(E344="kg",E344="g"),"g",IF(OR(E344="l",E344="ml"),"ml",IF(E344="un","un",""))))</f>
      </c>
      <c r="J344" s="9">
        <f>IFERROR(F344/IF(OR(E344="kg",E344="l"),D344*1000,D344),"")</f>
      </c>
      <c r="K344" s="5"/>
    </row>
    <row r="345" spans="1:11" x14ac:dyDescent="0.25">
      <c r="A345" s="7"/>
      <c r="B345" s="7"/>
      <c r="C345" s="7"/>
      <c r="D345" s="7"/>
      <c r="E345" s="7"/>
      <c r="F345" s="7"/>
      <c r="G345" s="7"/>
      <c r="H345" s="5"/>
      <c r="I345" s="8">
        <f>IF(E345="","",IF(OR(E345="kg",E345="g"),"g",IF(OR(E345="l",E345="ml"),"ml",IF(E345="un","un",""))))</f>
      </c>
      <c r="J345" s="9">
        <f>IFERROR(F345/IF(OR(E345="kg",E345="l"),D345*1000,D345),"")</f>
      </c>
      <c r="K345" s="5"/>
    </row>
    <row r="346" spans="1:11" x14ac:dyDescent="0.25">
      <c r="A346" s="7"/>
      <c r="B346" s="7"/>
      <c r="C346" s="7"/>
      <c r="D346" s="7"/>
      <c r="E346" s="7"/>
      <c r="F346" s="7"/>
      <c r="G346" s="7"/>
      <c r="H346" s="5"/>
      <c r="I346" s="8">
        <f>IF(E346="","",IF(OR(E346="kg",E346="g"),"g",IF(OR(E346="l",E346="ml"),"ml",IF(E346="un","un",""))))</f>
      </c>
      <c r="J346" s="9">
        <f>IFERROR(F346/IF(OR(E346="kg",E346="l"),D346*1000,D346),"")</f>
      </c>
      <c r="K346" s="5"/>
    </row>
    <row r="347" spans="1:11" x14ac:dyDescent="0.25">
      <c r="A347" s="7"/>
      <c r="B347" s="7"/>
      <c r="C347" s="7"/>
      <c r="D347" s="7"/>
      <c r="E347" s="7"/>
      <c r="F347" s="7"/>
      <c r="G347" s="7"/>
      <c r="H347" s="5"/>
      <c r="I347" s="8">
        <f>IF(E347="","",IF(OR(E347="kg",E347="g"),"g",IF(OR(E347="l",E347="ml"),"ml",IF(E347="un","un",""))))</f>
      </c>
      <c r="J347" s="9">
        <f>IFERROR(F347/IF(OR(E347="kg",E347="l"),D347*1000,D347),"")</f>
      </c>
      <c r="K347" s="5"/>
    </row>
    <row r="348" spans="1:11" x14ac:dyDescent="0.25">
      <c r="A348" s="7"/>
      <c r="B348" s="7"/>
      <c r="C348" s="7"/>
      <c r="D348" s="7"/>
      <c r="E348" s="7"/>
      <c r="F348" s="7"/>
      <c r="G348" s="7"/>
      <c r="H348" s="5"/>
      <c r="I348" s="8">
        <f>IF(E348="","",IF(OR(E348="kg",E348="g"),"g",IF(OR(E348="l",E348="ml"),"ml",IF(E348="un","un",""))))</f>
      </c>
      <c r="J348" s="9">
        <f>IFERROR(F348/IF(OR(E348="kg",E348="l"),D348*1000,D348),"")</f>
      </c>
      <c r="K348" s="5"/>
    </row>
    <row r="349" spans="1:11" x14ac:dyDescent="0.25">
      <c r="A349" s="7"/>
      <c r="B349" s="7"/>
      <c r="C349" s="7"/>
      <c r="D349" s="7"/>
      <c r="E349" s="7"/>
      <c r="F349" s="7"/>
      <c r="G349" s="7"/>
      <c r="H349" s="5"/>
      <c r="I349" s="8">
        <f>IF(E349="","",IF(OR(E349="kg",E349="g"),"g",IF(OR(E349="l",E349="ml"),"ml",IF(E349="un","un",""))))</f>
      </c>
      <c r="J349" s="9">
        <f>IFERROR(F349/IF(OR(E349="kg",E349="l"),D349*1000,D349),"")</f>
      </c>
      <c r="K349" s="5"/>
    </row>
    <row r="350" spans="1:11" x14ac:dyDescent="0.25">
      <c r="A350" s="7"/>
      <c r="B350" s="7"/>
      <c r="C350" s="7"/>
      <c r="D350" s="7"/>
      <c r="E350" s="7"/>
      <c r="F350" s="7"/>
      <c r="G350" s="7"/>
      <c r="H350" s="5"/>
      <c r="I350" s="8">
        <f>IF(E350="","",IF(OR(E350="kg",E350="g"),"g",IF(OR(E350="l",E350="ml"),"ml",IF(E350="un","un",""))))</f>
      </c>
      <c r="J350" s="9">
        <f>IFERROR(F350/IF(OR(E350="kg",E350="l"),D350*1000,D350),"")</f>
      </c>
      <c r="K350" s="5"/>
    </row>
    <row r="351" spans="1:11" x14ac:dyDescent="0.25">
      <c r="A351" s="7"/>
      <c r="B351" s="7"/>
      <c r="C351" s="7"/>
      <c r="D351" s="7"/>
      <c r="E351" s="7"/>
      <c r="F351" s="7"/>
      <c r="G351" s="7"/>
      <c r="H351" s="5"/>
      <c r="I351" s="8">
        <f>IF(E351="","",IF(OR(E351="kg",E351="g"),"g",IF(OR(E351="l",E351="ml"),"ml",IF(E351="un","un",""))))</f>
      </c>
      <c r="J351" s="9">
        <f>IFERROR(F351/IF(OR(E351="kg",E351="l"),D351*1000,D351),"")</f>
      </c>
      <c r="K351" s="5"/>
    </row>
    <row r="352" spans="1:11" x14ac:dyDescent="0.25">
      <c r="A352" s="7"/>
      <c r="B352" s="7"/>
      <c r="C352" s="7"/>
      <c r="D352" s="7"/>
      <c r="E352" s="7"/>
      <c r="F352" s="7"/>
      <c r="G352" s="7"/>
      <c r="H352" s="5"/>
      <c r="I352" s="8">
        <f>IF(E352="","",IF(OR(E352="kg",E352="g"),"g",IF(OR(E352="l",E352="ml"),"ml",IF(E352="un","un",""))))</f>
      </c>
      <c r="J352" s="9">
        <f>IFERROR(F352/IF(OR(E352="kg",E352="l"),D352*1000,D352),"")</f>
      </c>
      <c r="K352" s="5"/>
    </row>
    <row r="353" spans="1:11" x14ac:dyDescent="0.25">
      <c r="A353" s="7"/>
      <c r="B353" s="7"/>
      <c r="C353" s="7"/>
      <c r="D353" s="7"/>
      <c r="E353" s="7"/>
      <c r="F353" s="7"/>
      <c r="G353" s="7"/>
      <c r="H353" s="5"/>
      <c r="I353" s="8">
        <f>IF(E353="","",IF(OR(E353="kg",E353="g"),"g",IF(OR(E353="l",E353="ml"),"ml",IF(E353="un","un",""))))</f>
      </c>
      <c r="J353" s="9">
        <f>IFERROR(F353/IF(OR(E353="kg",E353="l"),D353*1000,D353),"")</f>
      </c>
      <c r="K353" s="5"/>
    </row>
    <row r="354" spans="1:11" x14ac:dyDescent="0.25">
      <c r="A354" s="7"/>
      <c r="B354" s="7"/>
      <c r="C354" s="7"/>
      <c r="D354" s="7"/>
      <c r="E354" s="7"/>
      <c r="F354" s="7"/>
      <c r="G354" s="7"/>
      <c r="H354" s="5"/>
      <c r="I354" s="8">
        <f>IF(E354="","",IF(OR(E354="kg",E354="g"),"g",IF(OR(E354="l",E354="ml"),"ml",IF(E354="un","un",""))))</f>
      </c>
      <c r="J354" s="9">
        <f>IFERROR(F354/IF(OR(E354="kg",E354="l"),D354*1000,D354),"")</f>
      </c>
      <c r="K354" s="5"/>
    </row>
    <row r="355" spans="1:11" x14ac:dyDescent="0.25">
      <c r="A355" s="7"/>
      <c r="B355" s="7"/>
      <c r="C355" s="7"/>
      <c r="D355" s="7"/>
      <c r="E355" s="7"/>
      <c r="F355" s="7"/>
      <c r="G355" s="7"/>
      <c r="H355" s="5"/>
      <c r="I355" s="8">
        <f>IF(E355="","",IF(OR(E355="kg",E355="g"),"g",IF(OR(E355="l",E355="ml"),"ml",IF(E355="un","un",""))))</f>
      </c>
      <c r="J355" s="9">
        <f>IFERROR(F355/IF(OR(E355="kg",E355="l"),D355*1000,D355),"")</f>
      </c>
      <c r="K355" s="5"/>
    </row>
    <row r="356" spans="1:11" x14ac:dyDescent="0.25">
      <c r="A356" s="7"/>
      <c r="B356" s="7"/>
      <c r="C356" s="7"/>
      <c r="D356" s="7"/>
      <c r="E356" s="7"/>
      <c r="F356" s="7"/>
      <c r="G356" s="7"/>
      <c r="H356" s="5"/>
      <c r="I356" s="8">
        <f>IF(E356="","",IF(OR(E356="kg",E356="g"),"g",IF(OR(E356="l",E356="ml"),"ml",IF(E356="un","un",""))))</f>
      </c>
      <c r="J356" s="9">
        <f>IFERROR(F356/IF(OR(E356="kg",E356="l"),D356*1000,D356),"")</f>
      </c>
      <c r="K356" s="5"/>
    </row>
    <row r="357" spans="1:11" x14ac:dyDescent="0.25">
      <c r="A357" s="7"/>
      <c r="B357" s="7"/>
      <c r="C357" s="7"/>
      <c r="D357" s="7"/>
      <c r="E357" s="7"/>
      <c r="F357" s="7"/>
      <c r="G357" s="7"/>
      <c r="H357" s="5"/>
      <c r="I357" s="8">
        <f>IF(E357="","",IF(OR(E357="kg",E357="g"),"g",IF(OR(E357="l",E357="ml"),"ml",IF(E357="un","un",""))))</f>
      </c>
      <c r="J357" s="9">
        <f>IFERROR(F357/IF(OR(E357="kg",E357="l"),D357*1000,D357),"")</f>
      </c>
      <c r="K357" s="5"/>
    </row>
    <row r="358" spans="1:11" x14ac:dyDescent="0.25">
      <c r="A358" s="7"/>
      <c r="B358" s="7"/>
      <c r="C358" s="7"/>
      <c r="D358" s="7"/>
      <c r="E358" s="7"/>
      <c r="F358" s="7"/>
      <c r="G358" s="7"/>
      <c r="H358" s="5"/>
      <c r="I358" s="8">
        <f>IF(E358="","",IF(OR(E358="kg",E358="g"),"g",IF(OR(E358="l",E358="ml"),"ml",IF(E358="un","un",""))))</f>
      </c>
      <c r="J358" s="9">
        <f>IFERROR(F358/IF(OR(E358="kg",E358="l"),D358*1000,D358),"")</f>
      </c>
      <c r="K358" s="5"/>
    </row>
    <row r="359" spans="1:11" x14ac:dyDescent="0.25">
      <c r="A359" s="7"/>
      <c r="B359" s="7"/>
      <c r="C359" s="7"/>
      <c r="D359" s="7"/>
      <c r="E359" s="7"/>
      <c r="F359" s="7"/>
      <c r="G359" s="7"/>
      <c r="H359" s="5"/>
      <c r="I359" s="8">
        <f>IF(E359="","",IF(OR(E359="kg",E359="g"),"g",IF(OR(E359="l",E359="ml"),"ml",IF(E359="un","un",""))))</f>
      </c>
      <c r="J359" s="9">
        <f>IFERROR(F359/IF(OR(E359="kg",E359="l"),D359*1000,D359),"")</f>
      </c>
      <c r="K359" s="5"/>
    </row>
    <row r="360" spans="1:11" x14ac:dyDescent="0.25">
      <c r="A360" s="7"/>
      <c r="B360" s="7"/>
      <c r="C360" s="7"/>
      <c r="D360" s="7"/>
      <c r="E360" s="7"/>
      <c r="F360" s="7"/>
      <c r="G360" s="7"/>
      <c r="H360" s="5"/>
      <c r="I360" s="8">
        <f>IF(E360="","",IF(OR(E360="kg",E360="g"),"g",IF(OR(E360="l",E360="ml"),"ml",IF(E360="un","un",""))))</f>
      </c>
      <c r="J360" s="9">
        <f>IFERROR(F360/IF(OR(E360="kg",E360="l"),D360*1000,D360),"")</f>
      </c>
      <c r="K360" s="5"/>
    </row>
    <row r="361" spans="1:11" x14ac:dyDescent="0.25">
      <c r="A361" s="7"/>
      <c r="B361" s="7"/>
      <c r="C361" s="7"/>
      <c r="D361" s="7"/>
      <c r="E361" s="7"/>
      <c r="F361" s="7"/>
      <c r="G361" s="7"/>
      <c r="H361" s="5"/>
      <c r="I361" s="8">
        <f>IF(E361="","",IF(OR(E361="kg",E361="g"),"g",IF(OR(E361="l",E361="ml"),"ml",IF(E361="un","un",""))))</f>
      </c>
      <c r="J361" s="9">
        <f>IFERROR(F361/IF(OR(E361="kg",E361="l"),D361*1000,D361),"")</f>
      </c>
      <c r="K361" s="5"/>
    </row>
    <row r="362" spans="1:11" x14ac:dyDescent="0.25">
      <c r="A362" s="7"/>
      <c r="B362" s="7"/>
      <c r="C362" s="7"/>
      <c r="D362" s="7"/>
      <c r="E362" s="7"/>
      <c r="F362" s="7"/>
      <c r="G362" s="7"/>
      <c r="H362" s="5"/>
      <c r="I362" s="8">
        <f>IF(E362="","",IF(OR(E362="kg",E362="g"),"g",IF(OR(E362="l",E362="ml"),"ml",IF(E362="un","un",""))))</f>
      </c>
      <c r="J362" s="9">
        <f>IFERROR(F362/IF(OR(E362="kg",E362="l"),D362*1000,D362),"")</f>
      </c>
      <c r="K362" s="5"/>
    </row>
    <row r="363" spans="1:11" x14ac:dyDescent="0.25">
      <c r="A363" s="7"/>
      <c r="B363" s="7"/>
      <c r="C363" s="7"/>
      <c r="D363" s="7"/>
      <c r="E363" s="7"/>
      <c r="F363" s="7"/>
      <c r="G363" s="7"/>
      <c r="H363" s="5"/>
      <c r="I363" s="8">
        <f>IF(E363="","",IF(OR(E363="kg",E363="g"),"g",IF(OR(E363="l",E363="ml"),"ml",IF(E363="un","un",""))))</f>
      </c>
      <c r="J363" s="9">
        <f>IFERROR(F363/IF(OR(E363="kg",E363="l"),D363*1000,D363),"")</f>
      </c>
      <c r="K363" s="5"/>
    </row>
    <row r="364" spans="1:11" x14ac:dyDescent="0.25">
      <c r="A364" s="7"/>
      <c r="B364" s="7"/>
      <c r="C364" s="7"/>
      <c r="D364" s="7"/>
      <c r="E364" s="7"/>
      <c r="F364" s="7"/>
      <c r="G364" s="7"/>
      <c r="H364" s="5"/>
      <c r="I364" s="8">
        <f>IF(E364="","",IF(OR(E364="kg",E364="g"),"g",IF(OR(E364="l",E364="ml"),"ml",IF(E364="un","un",""))))</f>
      </c>
      <c r="J364" s="9">
        <f>IFERROR(F364/IF(OR(E364="kg",E364="l"),D364*1000,D364),"")</f>
      </c>
      <c r="K364" s="5"/>
    </row>
    <row r="365" spans="1:11" x14ac:dyDescent="0.25">
      <c r="A365" s="7"/>
      <c r="B365" s="7"/>
      <c r="C365" s="7"/>
      <c r="D365" s="7"/>
      <c r="E365" s="7"/>
      <c r="F365" s="7"/>
      <c r="G365" s="7"/>
      <c r="H365" s="5"/>
      <c r="I365" s="8">
        <f>IF(E365="","",IF(OR(E365="kg",E365="g"),"g",IF(OR(E365="l",E365="ml"),"ml",IF(E365="un","un",""))))</f>
      </c>
      <c r="J365" s="9">
        <f>IFERROR(F365/IF(OR(E365="kg",E365="l"),D365*1000,D365),"")</f>
      </c>
      <c r="K365" s="5"/>
    </row>
    <row r="366" spans="1:11" x14ac:dyDescent="0.25">
      <c r="A366" s="7"/>
      <c r="B366" s="7"/>
      <c r="C366" s="7"/>
      <c r="D366" s="7"/>
      <c r="E366" s="7"/>
      <c r="F366" s="7"/>
      <c r="G366" s="7"/>
      <c r="H366" s="5"/>
      <c r="I366" s="8">
        <f>IF(E366="","",IF(OR(E366="kg",E366="g"),"g",IF(OR(E366="l",E366="ml"),"ml",IF(E366="un","un",""))))</f>
      </c>
      <c r="J366" s="9">
        <f>IFERROR(F366/IF(OR(E366="kg",E366="l"),D366*1000,D366),"")</f>
      </c>
      <c r="K366" s="5"/>
    </row>
    <row r="367" spans="1:11" x14ac:dyDescent="0.25">
      <c r="A367" s="7"/>
      <c r="B367" s="7"/>
      <c r="C367" s="7"/>
      <c r="D367" s="7"/>
      <c r="E367" s="7"/>
      <c r="F367" s="7"/>
      <c r="G367" s="7"/>
      <c r="H367" s="5"/>
      <c r="I367" s="8">
        <f>IF(E367="","",IF(OR(E367="kg",E367="g"),"g",IF(OR(E367="l",E367="ml"),"ml",IF(E367="un","un",""))))</f>
      </c>
      <c r="J367" s="9">
        <f>IFERROR(F367/IF(OR(E367="kg",E367="l"),D367*1000,D367),"")</f>
      </c>
      <c r="K367" s="5"/>
    </row>
    <row r="368" spans="1:11" x14ac:dyDescent="0.25">
      <c r="A368" s="7"/>
      <c r="B368" s="7"/>
      <c r="C368" s="7"/>
      <c r="D368" s="7"/>
      <c r="E368" s="7"/>
      <c r="F368" s="7"/>
      <c r="G368" s="7"/>
      <c r="H368" s="5"/>
      <c r="I368" s="8">
        <f>IF(E368="","",IF(OR(E368="kg",E368="g"),"g",IF(OR(E368="l",E368="ml"),"ml",IF(E368="un","un",""))))</f>
      </c>
      <c r="J368" s="9">
        <f>IFERROR(F368/IF(OR(E368="kg",E368="l"),D368*1000,D368),"")</f>
      </c>
      <c r="K368" s="5"/>
    </row>
    <row r="369" spans="1:11" x14ac:dyDescent="0.25">
      <c r="A369" s="7"/>
      <c r="B369" s="7"/>
      <c r="C369" s="7"/>
      <c r="D369" s="7"/>
      <c r="E369" s="7"/>
      <c r="F369" s="7"/>
      <c r="G369" s="7"/>
      <c r="H369" s="5"/>
      <c r="I369" s="8">
        <f>IF(E369="","",IF(OR(E369="kg",E369="g"),"g",IF(OR(E369="l",E369="ml"),"ml",IF(E369="un","un",""))))</f>
      </c>
      <c r="J369" s="9">
        <f>IFERROR(F369/IF(OR(E369="kg",E369="l"),D369*1000,D369),"")</f>
      </c>
      <c r="K369" s="5"/>
    </row>
    <row r="370" spans="1:11" x14ac:dyDescent="0.25">
      <c r="A370" s="7"/>
      <c r="B370" s="7"/>
      <c r="C370" s="7"/>
      <c r="D370" s="7"/>
      <c r="E370" s="7"/>
      <c r="F370" s="7"/>
      <c r="G370" s="7"/>
      <c r="H370" s="5"/>
      <c r="I370" s="8">
        <f>IF(E370="","",IF(OR(E370="kg",E370="g"),"g",IF(OR(E370="l",E370="ml"),"ml",IF(E370="un","un",""))))</f>
      </c>
      <c r="J370" s="9">
        <f>IFERROR(F370/IF(OR(E370="kg",E370="l"),D370*1000,D370),"")</f>
      </c>
      <c r="K370" s="5"/>
    </row>
    <row r="371" spans="1:11" x14ac:dyDescent="0.25">
      <c r="A371" s="7"/>
      <c r="B371" s="7"/>
      <c r="C371" s="7"/>
      <c r="D371" s="7"/>
      <c r="E371" s="7"/>
      <c r="F371" s="7"/>
      <c r="G371" s="7"/>
      <c r="H371" s="5"/>
      <c r="I371" s="8">
        <f>IF(E371="","",IF(OR(E371="kg",E371="g"),"g",IF(OR(E371="l",E371="ml"),"ml",IF(E371="un","un",""))))</f>
      </c>
      <c r="J371" s="9">
        <f>IFERROR(F371/IF(OR(E371="kg",E371="l"),D371*1000,D371),"")</f>
      </c>
      <c r="K371" s="5"/>
    </row>
    <row r="372" spans="1:11" x14ac:dyDescent="0.25">
      <c r="A372" s="7"/>
      <c r="B372" s="7"/>
      <c r="C372" s="7"/>
      <c r="D372" s="7"/>
      <c r="E372" s="7"/>
      <c r="F372" s="7"/>
      <c r="G372" s="7"/>
      <c r="H372" s="5"/>
      <c r="I372" s="8">
        <f>IF(E372="","",IF(OR(E372="kg",E372="g"),"g",IF(OR(E372="l",E372="ml"),"ml",IF(E372="un","un",""))))</f>
      </c>
      <c r="J372" s="9">
        <f>IFERROR(F372/IF(OR(E372="kg",E372="l"),D372*1000,D372),"")</f>
      </c>
      <c r="K372" s="5"/>
    </row>
    <row r="373" spans="1:11" x14ac:dyDescent="0.25">
      <c r="A373" s="7"/>
      <c r="B373" s="7"/>
      <c r="C373" s="7"/>
      <c r="D373" s="7"/>
      <c r="E373" s="7"/>
      <c r="F373" s="7"/>
      <c r="G373" s="7"/>
      <c r="H373" s="5"/>
      <c r="I373" s="8">
        <f>IF(E373="","",IF(OR(E373="kg",E373="g"),"g",IF(OR(E373="l",E373="ml"),"ml",IF(E373="un","un",""))))</f>
      </c>
      <c r="J373" s="9">
        <f>IFERROR(F373/IF(OR(E373="kg",E373="l"),D373*1000,D373),"")</f>
      </c>
      <c r="K373" s="5"/>
    </row>
    <row r="374" spans="1:11" x14ac:dyDescent="0.25">
      <c r="A374" s="7"/>
      <c r="B374" s="7"/>
      <c r="C374" s="7"/>
      <c r="D374" s="7"/>
      <c r="E374" s="7"/>
      <c r="F374" s="7"/>
      <c r="G374" s="7"/>
      <c r="H374" s="5"/>
      <c r="I374" s="8">
        <f>IF(E374="","",IF(OR(E374="kg",E374="g"),"g",IF(OR(E374="l",E374="ml"),"ml",IF(E374="un","un",""))))</f>
      </c>
      <c r="J374" s="9">
        <f>IFERROR(F374/IF(OR(E374="kg",E374="l"),D374*1000,D374),"")</f>
      </c>
      <c r="K374" s="5"/>
    </row>
    <row r="375" spans="1:11" x14ac:dyDescent="0.25">
      <c r="A375" s="7"/>
      <c r="B375" s="7"/>
      <c r="C375" s="7"/>
      <c r="D375" s="7"/>
      <c r="E375" s="7"/>
      <c r="F375" s="7"/>
      <c r="G375" s="7"/>
      <c r="H375" s="5"/>
      <c r="I375" s="8">
        <f>IF(E375="","",IF(OR(E375="kg",E375="g"),"g",IF(OR(E375="l",E375="ml"),"ml",IF(E375="un","un",""))))</f>
      </c>
      <c r="J375" s="9">
        <f>IFERROR(F375/IF(OR(E375="kg",E375="l"),D375*1000,D375),"")</f>
      </c>
      <c r="K375" s="5"/>
    </row>
    <row r="376" spans="1:11" x14ac:dyDescent="0.25">
      <c r="A376" s="7"/>
      <c r="B376" s="7"/>
      <c r="C376" s="7"/>
      <c r="D376" s="7"/>
      <c r="E376" s="7"/>
      <c r="F376" s="7"/>
      <c r="G376" s="7"/>
      <c r="H376" s="5"/>
      <c r="I376" s="8">
        <f>IF(E376="","",IF(OR(E376="kg",E376="g"),"g",IF(OR(E376="l",E376="ml"),"ml",IF(E376="un","un",""))))</f>
      </c>
      <c r="J376" s="9">
        <f>IFERROR(F376/IF(OR(E376="kg",E376="l"),D376*1000,D376),"")</f>
      </c>
      <c r="K376" s="5"/>
    </row>
    <row r="377" spans="1:11" x14ac:dyDescent="0.25">
      <c r="A377" s="7"/>
      <c r="B377" s="7"/>
      <c r="C377" s="7"/>
      <c r="D377" s="7"/>
      <c r="E377" s="7"/>
      <c r="F377" s="7"/>
      <c r="G377" s="7"/>
      <c r="H377" s="5"/>
      <c r="I377" s="8">
        <f>IF(E377="","",IF(OR(E377="kg",E377="g"),"g",IF(OR(E377="l",E377="ml"),"ml",IF(E377="un","un",""))))</f>
      </c>
      <c r="J377" s="9">
        <f>IFERROR(F377/IF(OR(E377="kg",E377="l"),D377*1000,D377),"")</f>
      </c>
      <c r="K377" s="5"/>
    </row>
    <row r="378" spans="1:11" x14ac:dyDescent="0.25">
      <c r="A378" s="7"/>
      <c r="B378" s="7"/>
      <c r="C378" s="7"/>
      <c r="D378" s="7"/>
      <c r="E378" s="7"/>
      <c r="F378" s="7"/>
      <c r="G378" s="7"/>
      <c r="H378" s="5"/>
      <c r="I378" s="8">
        <f>IF(E378="","",IF(OR(E378="kg",E378="g"),"g",IF(OR(E378="l",E378="ml"),"ml",IF(E378="un","un",""))))</f>
      </c>
      <c r="J378" s="9">
        <f>IFERROR(F378/IF(OR(E378="kg",E378="l"),D378*1000,D378),"")</f>
      </c>
      <c r="K378" s="5"/>
    </row>
    <row r="379" spans="1:11" x14ac:dyDescent="0.25">
      <c r="A379" s="7"/>
      <c r="B379" s="7"/>
      <c r="C379" s="7"/>
      <c r="D379" s="7"/>
      <c r="E379" s="7"/>
      <c r="F379" s="7"/>
      <c r="G379" s="7"/>
      <c r="H379" s="5"/>
      <c r="I379" s="8">
        <f>IF(E379="","",IF(OR(E379="kg",E379="g"),"g",IF(OR(E379="l",E379="ml"),"ml",IF(E379="un","un",""))))</f>
      </c>
      <c r="J379" s="9">
        <f>IFERROR(F379/IF(OR(E379="kg",E379="l"),D379*1000,D379),"")</f>
      </c>
      <c r="K379" s="5"/>
    </row>
    <row r="380" spans="1:11" x14ac:dyDescent="0.25">
      <c r="A380" s="7"/>
      <c r="B380" s="7"/>
      <c r="C380" s="7"/>
      <c r="D380" s="7"/>
      <c r="E380" s="7"/>
      <c r="F380" s="7"/>
      <c r="G380" s="7"/>
      <c r="H380" s="5"/>
      <c r="I380" s="8">
        <f>IF(E380="","",IF(OR(E380="kg",E380="g"),"g",IF(OR(E380="l",E380="ml"),"ml",IF(E380="un","un",""))))</f>
      </c>
      <c r="J380" s="9">
        <f>IFERROR(F380/IF(OR(E380="kg",E380="l"),D380*1000,D380),"")</f>
      </c>
      <c r="K380" s="5"/>
    </row>
    <row r="381" spans="1:11" x14ac:dyDescent="0.25">
      <c r="A381" s="7"/>
      <c r="B381" s="7"/>
      <c r="C381" s="7"/>
      <c r="D381" s="7"/>
      <c r="E381" s="7"/>
      <c r="F381" s="7"/>
      <c r="G381" s="7"/>
      <c r="H381" s="5"/>
      <c r="I381" s="8">
        <f>IF(E381="","",IF(OR(E381="kg",E381="g"),"g",IF(OR(E381="l",E381="ml"),"ml",IF(E381="un","un",""))))</f>
      </c>
      <c r="J381" s="9">
        <f>IFERROR(F381/IF(OR(E381="kg",E381="l"),D381*1000,D381),"")</f>
      </c>
      <c r="K381" s="5"/>
    </row>
    <row r="382" spans="1:11" x14ac:dyDescent="0.25">
      <c r="A382" s="7"/>
      <c r="B382" s="7"/>
      <c r="C382" s="7"/>
      <c r="D382" s="7"/>
      <c r="E382" s="7"/>
      <c r="F382" s="7"/>
      <c r="G382" s="7"/>
      <c r="H382" s="5"/>
      <c r="I382" s="8">
        <f>IF(E382="","",IF(OR(E382="kg",E382="g"),"g",IF(OR(E382="l",E382="ml"),"ml",IF(E382="un","un",""))))</f>
      </c>
      <c r="J382" s="9">
        <f>IFERROR(F382/IF(OR(E382="kg",E382="l"),D382*1000,D382),"")</f>
      </c>
      <c r="K382" s="5"/>
    </row>
    <row r="383" spans="1:11" x14ac:dyDescent="0.25">
      <c r="A383" s="7"/>
      <c r="B383" s="7"/>
      <c r="C383" s="7"/>
      <c r="D383" s="7"/>
      <c r="E383" s="7"/>
      <c r="F383" s="7"/>
      <c r="G383" s="7"/>
      <c r="H383" s="5"/>
      <c r="I383" s="8">
        <f>IF(E383="","",IF(OR(E383="kg",E383="g"),"g",IF(OR(E383="l",E383="ml"),"ml",IF(E383="un","un",""))))</f>
      </c>
      <c r="J383" s="9">
        <f>IFERROR(F383/IF(OR(E383="kg",E383="l"),D383*1000,D383),"")</f>
      </c>
      <c r="K383" s="5"/>
    </row>
    <row r="384" spans="1:11" x14ac:dyDescent="0.25">
      <c r="A384" s="7"/>
      <c r="B384" s="7"/>
      <c r="C384" s="7"/>
      <c r="D384" s="7"/>
      <c r="E384" s="7"/>
      <c r="F384" s="7"/>
      <c r="G384" s="7"/>
      <c r="H384" s="5"/>
      <c r="I384" s="8">
        <f>IF(E384="","",IF(OR(E384="kg",E384="g"),"g",IF(OR(E384="l",E384="ml"),"ml",IF(E384="un","un",""))))</f>
      </c>
      <c r="J384" s="9">
        <f>IFERROR(F384/IF(OR(E384="kg",E384="l"),D384*1000,D384),"")</f>
      </c>
      <c r="K384" s="5"/>
    </row>
    <row r="385" spans="1:11" x14ac:dyDescent="0.25">
      <c r="A385" s="7"/>
      <c r="B385" s="7"/>
      <c r="C385" s="7"/>
      <c r="D385" s="7"/>
      <c r="E385" s="7"/>
      <c r="F385" s="7"/>
      <c r="G385" s="7"/>
      <c r="H385" s="5"/>
      <c r="I385" s="8">
        <f>IF(E385="","",IF(OR(E385="kg",E385="g"),"g",IF(OR(E385="l",E385="ml"),"ml",IF(E385="un","un",""))))</f>
      </c>
      <c r="J385" s="9">
        <f>IFERROR(F385/IF(OR(E385="kg",E385="l"),D385*1000,D385),"")</f>
      </c>
      <c r="K385" s="5"/>
    </row>
    <row r="386" spans="1:11" x14ac:dyDescent="0.25">
      <c r="A386" s="7"/>
      <c r="B386" s="7"/>
      <c r="C386" s="7"/>
      <c r="D386" s="7"/>
      <c r="E386" s="7"/>
      <c r="F386" s="7"/>
      <c r="G386" s="7"/>
      <c r="H386" s="5"/>
      <c r="I386" s="8">
        <f>IF(E386="","",IF(OR(E386="kg",E386="g"),"g",IF(OR(E386="l",E386="ml"),"ml",IF(E386="un","un",""))))</f>
      </c>
      <c r="J386" s="9">
        <f>IFERROR(F386/IF(OR(E386="kg",E386="l"),D386*1000,D386),"")</f>
      </c>
      <c r="K386" s="5"/>
    </row>
    <row r="387" spans="1:11" x14ac:dyDescent="0.25">
      <c r="A387" s="7"/>
      <c r="B387" s="7"/>
      <c r="C387" s="7"/>
      <c r="D387" s="7"/>
      <c r="E387" s="7"/>
      <c r="F387" s="7"/>
      <c r="G387" s="7"/>
      <c r="H387" s="5"/>
      <c r="I387" s="8">
        <f>IF(E387="","",IF(OR(E387="kg",E387="g"),"g",IF(OR(E387="l",E387="ml"),"ml",IF(E387="un","un",""))))</f>
      </c>
      <c r="J387" s="9">
        <f>IFERROR(F387/IF(OR(E387="kg",E387="l"),D387*1000,D387),"")</f>
      </c>
      <c r="K387" s="5"/>
    </row>
    <row r="388" spans="1:11" x14ac:dyDescent="0.25">
      <c r="A388" s="7"/>
      <c r="B388" s="7"/>
      <c r="C388" s="7"/>
      <c r="D388" s="7"/>
      <c r="E388" s="7"/>
      <c r="F388" s="7"/>
      <c r="G388" s="7"/>
      <c r="H388" s="5"/>
      <c r="I388" s="8">
        <f>IF(E388="","",IF(OR(E388="kg",E388="g"),"g",IF(OR(E388="l",E388="ml"),"ml",IF(E388="un","un",""))))</f>
      </c>
      <c r="J388" s="9">
        <f>IFERROR(F388/IF(OR(E388="kg",E388="l"),D388*1000,D388),"")</f>
      </c>
      <c r="K388" s="5"/>
    </row>
    <row r="389" spans="1:11" x14ac:dyDescent="0.25">
      <c r="A389" s="7"/>
      <c r="B389" s="7"/>
      <c r="C389" s="7"/>
      <c r="D389" s="7"/>
      <c r="E389" s="7"/>
      <c r="F389" s="7"/>
      <c r="G389" s="7"/>
      <c r="H389" s="5"/>
      <c r="I389" s="8">
        <f>IF(E389="","",IF(OR(E389="kg",E389="g"),"g",IF(OR(E389="l",E389="ml"),"ml",IF(E389="un","un",""))))</f>
      </c>
      <c r="J389" s="9">
        <f>IFERROR(F389/IF(OR(E389="kg",E389="l"),D389*1000,D389),"")</f>
      </c>
      <c r="K389" s="5"/>
    </row>
    <row r="390" spans="1:11" x14ac:dyDescent="0.25">
      <c r="A390" s="7"/>
      <c r="B390" s="7"/>
      <c r="C390" s="7"/>
      <c r="D390" s="7"/>
      <c r="E390" s="7"/>
      <c r="F390" s="7"/>
      <c r="G390" s="7"/>
      <c r="H390" s="5"/>
      <c r="I390" s="8">
        <f>IF(E390="","",IF(OR(E390="kg",E390="g"),"g",IF(OR(E390="l",E390="ml"),"ml",IF(E390="un","un",""))))</f>
      </c>
      <c r="J390" s="9">
        <f>IFERROR(F390/IF(OR(E390="kg",E390="l"),D390*1000,D390),"")</f>
      </c>
      <c r="K390" s="5"/>
    </row>
    <row r="391" spans="1:11" x14ac:dyDescent="0.25">
      <c r="A391" s="7"/>
      <c r="B391" s="7"/>
      <c r="C391" s="7"/>
      <c r="D391" s="7"/>
      <c r="E391" s="7"/>
      <c r="F391" s="7"/>
      <c r="G391" s="7"/>
      <c r="H391" s="5"/>
      <c r="I391" s="8">
        <f>IF(E391="","",IF(OR(E391="kg",E391="g"),"g",IF(OR(E391="l",E391="ml"),"ml",IF(E391="un","un",""))))</f>
      </c>
      <c r="J391" s="9">
        <f>IFERROR(F391/IF(OR(E391="kg",E391="l"),D391*1000,D391),"")</f>
      </c>
      <c r="K391" s="5"/>
    </row>
    <row r="392" spans="1:11" x14ac:dyDescent="0.25">
      <c r="A392" s="7"/>
      <c r="B392" s="7"/>
      <c r="C392" s="7"/>
      <c r="D392" s="7"/>
      <c r="E392" s="7"/>
      <c r="F392" s="7"/>
      <c r="G392" s="7"/>
      <c r="H392" s="5"/>
      <c r="I392" s="8">
        <f>IF(E392="","",IF(OR(E392="kg",E392="g"),"g",IF(OR(E392="l",E392="ml"),"ml",IF(E392="un","un",""))))</f>
      </c>
      <c r="J392" s="9">
        <f>IFERROR(F392/IF(OR(E392="kg",E392="l"),D392*1000,D392),"")</f>
      </c>
      <c r="K392" s="5"/>
    </row>
    <row r="393" spans="1:11" x14ac:dyDescent="0.25">
      <c r="A393" s="7"/>
      <c r="B393" s="7"/>
      <c r="C393" s="7"/>
      <c r="D393" s="7"/>
      <c r="E393" s="7"/>
      <c r="F393" s="7"/>
      <c r="G393" s="7"/>
      <c r="H393" s="5"/>
      <c r="I393" s="8">
        <f>IF(E393="","",IF(OR(E393="kg",E393="g"),"g",IF(OR(E393="l",E393="ml"),"ml",IF(E393="un","un",""))))</f>
      </c>
      <c r="J393" s="9">
        <f>IFERROR(F393/IF(OR(E393="kg",E393="l"),D393*1000,D393),"")</f>
      </c>
      <c r="K393" s="5"/>
    </row>
    <row r="394" spans="1:11" x14ac:dyDescent="0.25">
      <c r="A394" s="7"/>
      <c r="B394" s="7"/>
      <c r="C394" s="7"/>
      <c r="D394" s="7"/>
      <c r="E394" s="7"/>
      <c r="F394" s="7"/>
      <c r="G394" s="7"/>
      <c r="H394" s="5"/>
      <c r="I394" s="8">
        <f>IF(E394="","",IF(OR(E394="kg",E394="g"),"g",IF(OR(E394="l",E394="ml"),"ml",IF(E394="un","un",""))))</f>
      </c>
      <c r="J394" s="9">
        <f>IFERROR(F394/IF(OR(E394="kg",E394="l"),D394*1000,D394),"")</f>
      </c>
      <c r="K394" s="5"/>
    </row>
    <row r="395" spans="1:11" x14ac:dyDescent="0.25">
      <c r="A395" s="7"/>
      <c r="B395" s="7"/>
      <c r="C395" s="7"/>
      <c r="D395" s="7"/>
      <c r="E395" s="7"/>
      <c r="F395" s="7"/>
      <c r="G395" s="7"/>
      <c r="H395" s="5"/>
      <c r="I395" s="8">
        <f>IF(E395="","",IF(OR(E395="kg",E395="g"),"g",IF(OR(E395="l",E395="ml"),"ml",IF(E395="un","un",""))))</f>
      </c>
      <c r="J395" s="9">
        <f>IFERROR(F395/IF(OR(E395="kg",E395="l"),D395*1000,D395),"")</f>
      </c>
      <c r="K395" s="5"/>
    </row>
    <row r="396" spans="1:11" x14ac:dyDescent="0.25">
      <c r="A396" s="7"/>
      <c r="B396" s="7"/>
      <c r="C396" s="7"/>
      <c r="D396" s="7"/>
      <c r="E396" s="7"/>
      <c r="F396" s="7"/>
      <c r="G396" s="7"/>
      <c r="H396" s="5"/>
      <c r="I396" s="8">
        <f>IF(E396="","",IF(OR(E396="kg",E396="g"),"g",IF(OR(E396="l",E396="ml"),"ml",IF(E396="un","un",""))))</f>
      </c>
      <c r="J396" s="9">
        <f>IFERROR(F396/IF(OR(E396="kg",E396="l"),D396*1000,D396),"")</f>
      </c>
      <c r="K396" s="5"/>
    </row>
    <row r="397" spans="1:11" x14ac:dyDescent="0.25">
      <c r="A397" s="7"/>
      <c r="B397" s="7"/>
      <c r="C397" s="7"/>
      <c r="D397" s="7"/>
      <c r="E397" s="7"/>
      <c r="F397" s="7"/>
      <c r="G397" s="7"/>
      <c r="H397" s="5"/>
      <c r="I397" s="8">
        <f>IF(E397="","",IF(OR(E397="kg",E397="g"),"g",IF(OR(E397="l",E397="ml"),"ml",IF(E397="un","un",""))))</f>
      </c>
      <c r="J397" s="9">
        <f>IFERROR(F397/IF(OR(E397="kg",E397="l"),D397*1000,D397),"")</f>
      </c>
      <c r="K397" s="5"/>
    </row>
    <row r="398" spans="1:11" x14ac:dyDescent="0.25">
      <c r="A398" s="7"/>
      <c r="B398" s="7"/>
      <c r="C398" s="7"/>
      <c r="D398" s="7"/>
      <c r="E398" s="7"/>
      <c r="F398" s="7"/>
      <c r="G398" s="7"/>
      <c r="H398" s="5"/>
      <c r="I398" s="8">
        <f>IF(E398="","",IF(OR(E398="kg",E398="g"),"g",IF(OR(E398="l",E398="ml"),"ml",IF(E398="un","un",""))))</f>
      </c>
      <c r="J398" s="9">
        <f>IFERROR(F398/IF(OR(E398="kg",E398="l"),D398*1000,D398),"")</f>
      </c>
      <c r="K398" s="5"/>
    </row>
    <row r="399" spans="1:11" x14ac:dyDescent="0.25">
      <c r="A399" s="7"/>
      <c r="B399" s="7"/>
      <c r="C399" s="7"/>
      <c r="D399" s="7"/>
      <c r="E399" s="7"/>
      <c r="F399" s="7"/>
      <c r="G399" s="7"/>
      <c r="H399" s="5"/>
      <c r="I399" s="8">
        <f>IF(E399="","",IF(OR(E399="kg",E399="g"),"g",IF(OR(E399="l",E399="ml"),"ml",IF(E399="un","un",""))))</f>
      </c>
      <c r="J399" s="9">
        <f>IFERROR(F399/IF(OR(E399="kg",E399="l"),D399*1000,D399),"")</f>
      </c>
      <c r="K399" s="5"/>
    </row>
    <row r="400" spans="1:11" x14ac:dyDescent="0.25">
      <c r="A400" s="7"/>
      <c r="B400" s="7"/>
      <c r="C400" s="7"/>
      <c r="D400" s="7"/>
      <c r="E400" s="7"/>
      <c r="F400" s="7"/>
      <c r="G400" s="7"/>
      <c r="H400" s="5"/>
      <c r="I400" s="8">
        <f>IF(E400="","",IF(OR(E400="kg",E400="g"),"g",IF(OR(E400="l",E400="ml"),"ml",IF(E400="un","un",""))))</f>
      </c>
      <c r="J400" s="9">
        <f>IFERROR(F400/IF(OR(E400="kg",E400="l"),D400*1000,D400),"")</f>
      </c>
      <c r="K400" s="5"/>
    </row>
    <row r="401" spans="1:11" x14ac:dyDescent="0.25">
      <c r="A401" s="7"/>
      <c r="B401" s="7"/>
      <c r="C401" s="7"/>
      <c r="D401" s="7"/>
      <c r="E401" s="7"/>
      <c r="F401" s="7"/>
      <c r="G401" s="7"/>
      <c r="H401" s="5"/>
      <c r="I401" s="8">
        <f>IF(E401="","",IF(OR(E401="kg",E401="g"),"g",IF(OR(E401="l",E401="ml"),"ml",IF(E401="un","un",""))))</f>
      </c>
      <c r="J401" s="9">
        <f>IFERROR(F401/IF(OR(E401="kg",E401="l"),D401*1000,D401),"")</f>
      </c>
      <c r="K401" s="5"/>
    </row>
    <row r="402" spans="1:11" x14ac:dyDescent="0.25">
      <c r="A402" s="7"/>
      <c r="B402" s="7"/>
      <c r="C402" s="7"/>
      <c r="D402" s="7"/>
      <c r="E402" s="7"/>
      <c r="F402" s="7"/>
      <c r="G402" s="7"/>
      <c r="H402" s="5"/>
      <c r="I402" s="8">
        <f>IF(E402="","",IF(OR(E402="kg",E402="g"),"g",IF(OR(E402="l",E402="ml"),"ml",IF(E402="un","un",""))))</f>
      </c>
      <c r="J402" s="9">
        <f>IFERROR(F402/IF(OR(E402="kg",E402="l"),D402*1000,D402),"")</f>
      </c>
      <c r="K402" s="5"/>
    </row>
    <row r="403" spans="1:11" x14ac:dyDescent="0.25">
      <c r="A403" s="7"/>
      <c r="B403" s="7"/>
      <c r="C403" s="7"/>
      <c r="D403" s="7"/>
      <c r="E403" s="7"/>
      <c r="F403" s="7"/>
      <c r="G403" s="7"/>
      <c r="H403" s="5"/>
      <c r="I403" s="8">
        <f>IF(E403="","",IF(OR(E403="kg",E403="g"),"g",IF(OR(E403="l",E403="ml"),"ml",IF(E403="un","un",""))))</f>
      </c>
      <c r="J403" s="9">
        <f>IFERROR(F403/IF(OR(E403="kg",E403="l"),D403*1000,D403),"")</f>
      </c>
      <c r="K403" s="5"/>
    </row>
    <row r="404" spans="1:11" x14ac:dyDescent="0.25">
      <c r="A404" s="7"/>
      <c r="B404" s="7"/>
      <c r="C404" s="7"/>
      <c r="D404" s="7"/>
      <c r="E404" s="7"/>
      <c r="F404" s="7"/>
      <c r="G404" s="7"/>
      <c r="H404" s="5"/>
      <c r="I404" s="8">
        <f>IF(E404="","",IF(OR(E404="kg",E404="g"),"g",IF(OR(E404="l",E404="ml"),"ml",IF(E404="un","un",""))))</f>
      </c>
      <c r="J404" s="9">
        <f>IFERROR(F404/IF(OR(E404="kg",E404="l"),D404*1000,D404),"")</f>
      </c>
      <c r="K404" s="5"/>
    </row>
    <row r="405" spans="1:11" x14ac:dyDescent="0.25">
      <c r="A405" s="7"/>
      <c r="B405" s="7"/>
      <c r="C405" s="7"/>
      <c r="D405" s="7"/>
      <c r="E405" s="7"/>
      <c r="F405" s="7"/>
      <c r="G405" s="7"/>
      <c r="H405" s="5"/>
      <c r="I405" s="8">
        <f>IF(E405="","",IF(OR(E405="kg",E405="g"),"g",IF(OR(E405="l",E405="ml"),"ml",IF(E405="un","un",""))))</f>
      </c>
      <c r="J405" s="9">
        <f>IFERROR(F405/IF(OR(E405="kg",E405="l"),D405*1000,D405),"")</f>
      </c>
      <c r="K405" s="5"/>
    </row>
    <row r="406" spans="1:11" x14ac:dyDescent="0.25">
      <c r="A406" s="7"/>
      <c r="B406" s="7"/>
      <c r="C406" s="7"/>
      <c r="D406" s="7"/>
      <c r="E406" s="7"/>
      <c r="F406" s="7"/>
      <c r="G406" s="7"/>
      <c r="H406" s="5"/>
      <c r="I406" s="8">
        <f>IF(E406="","",IF(OR(E406="kg",E406="g"),"g",IF(OR(E406="l",E406="ml"),"ml",IF(E406="un","un",""))))</f>
      </c>
      <c r="J406" s="9">
        <f>IFERROR(F406/IF(OR(E406="kg",E406="l"),D406*1000,D406),"")</f>
      </c>
      <c r="K406" s="5"/>
    </row>
    <row r="407" spans="1:11" x14ac:dyDescent="0.25">
      <c r="A407" s="7"/>
      <c r="B407" s="7"/>
      <c r="C407" s="7"/>
      <c r="D407" s="7"/>
      <c r="E407" s="7"/>
      <c r="F407" s="7"/>
      <c r="G407" s="7"/>
      <c r="H407" s="5"/>
      <c r="I407" s="8">
        <f>IF(E407="","",IF(OR(E407="kg",E407="g"),"g",IF(OR(E407="l",E407="ml"),"ml",IF(E407="un","un",""))))</f>
      </c>
      <c r="J407" s="9">
        <f>IFERROR(F407/IF(OR(E407="kg",E407="l"),D407*1000,D407),"")</f>
      </c>
      <c r="K407" s="5"/>
    </row>
    <row r="408" spans="1:11" x14ac:dyDescent="0.25">
      <c r="A408" s="7"/>
      <c r="B408" s="7"/>
      <c r="C408" s="7"/>
      <c r="D408" s="7"/>
      <c r="E408" s="7"/>
      <c r="F408" s="7"/>
      <c r="G408" s="7"/>
      <c r="H408" s="5"/>
      <c r="I408" s="8">
        <f>IF(E408="","",IF(OR(E408="kg",E408="g"),"g",IF(OR(E408="l",E408="ml"),"ml",IF(E408="un","un",""))))</f>
      </c>
      <c r="J408" s="9">
        <f>IFERROR(F408/IF(OR(E408="kg",E408="l"),D408*1000,D408),"")</f>
      </c>
      <c r="K408" s="5"/>
    </row>
    <row r="409" spans="1:11" x14ac:dyDescent="0.25">
      <c r="A409" s="7"/>
      <c r="B409" s="7"/>
      <c r="C409" s="7"/>
      <c r="D409" s="7"/>
      <c r="E409" s="7"/>
      <c r="F409" s="7"/>
      <c r="G409" s="7"/>
      <c r="H409" s="5"/>
      <c r="I409" s="8">
        <f>IF(E409="","",IF(OR(E409="kg",E409="g"),"g",IF(OR(E409="l",E409="ml"),"ml",IF(E409="un","un",""))))</f>
      </c>
      <c r="J409" s="9">
        <f>IFERROR(F409/IF(OR(E409="kg",E409="l"),D409*1000,D409),"")</f>
      </c>
      <c r="K409" s="5"/>
    </row>
    <row r="410" spans="1:11" x14ac:dyDescent="0.25">
      <c r="A410" s="7"/>
      <c r="B410" s="7"/>
      <c r="C410" s="7"/>
      <c r="D410" s="7"/>
      <c r="E410" s="7"/>
      <c r="F410" s="7"/>
      <c r="G410" s="7"/>
      <c r="H410" s="5"/>
      <c r="I410" s="8">
        <f>IF(E410="","",IF(OR(E410="kg",E410="g"),"g",IF(OR(E410="l",E410="ml"),"ml",IF(E410="un","un",""))))</f>
      </c>
      <c r="J410" s="9">
        <f>IFERROR(F410/IF(OR(E410="kg",E410="l"),D410*1000,D410),"")</f>
      </c>
      <c r="K410" s="5"/>
    </row>
    <row r="411" spans="1:11" x14ac:dyDescent="0.25">
      <c r="A411" s="7"/>
      <c r="B411" s="7"/>
      <c r="C411" s="7"/>
      <c r="D411" s="7"/>
      <c r="E411" s="7"/>
      <c r="F411" s="7"/>
      <c r="G411" s="7"/>
      <c r="H411" s="5"/>
      <c r="I411" s="8">
        <f>IF(E411="","",IF(OR(E411="kg",E411="g"),"g",IF(OR(E411="l",E411="ml"),"ml",IF(E411="un","un",""))))</f>
      </c>
      <c r="J411" s="9">
        <f>IFERROR(F411/IF(OR(E411="kg",E411="l"),D411*1000,D411),"")</f>
      </c>
      <c r="K411" s="5"/>
    </row>
    <row r="412" spans="1:11" x14ac:dyDescent="0.25">
      <c r="A412" s="7"/>
      <c r="B412" s="7"/>
      <c r="C412" s="7"/>
      <c r="D412" s="7"/>
      <c r="E412" s="7"/>
      <c r="F412" s="7"/>
      <c r="G412" s="7"/>
      <c r="H412" s="5"/>
      <c r="I412" s="8">
        <f>IF(E412="","",IF(OR(E412="kg",E412="g"),"g",IF(OR(E412="l",E412="ml"),"ml",IF(E412="un","un",""))))</f>
      </c>
      <c r="J412" s="9">
        <f>IFERROR(F412/IF(OR(E412="kg",E412="l"),D412*1000,D412),"")</f>
      </c>
      <c r="K412" s="5"/>
    </row>
    <row r="413" spans="1:11" x14ac:dyDescent="0.25">
      <c r="A413" s="7"/>
      <c r="B413" s="7"/>
      <c r="C413" s="7"/>
      <c r="D413" s="7"/>
      <c r="E413" s="7"/>
      <c r="F413" s="7"/>
      <c r="G413" s="7"/>
      <c r="H413" s="5"/>
      <c r="I413" s="8">
        <f>IF(E413="","",IF(OR(E413="kg",E413="g"),"g",IF(OR(E413="l",E413="ml"),"ml",IF(E413="un","un",""))))</f>
      </c>
      <c r="J413" s="9">
        <f>IFERROR(F413/IF(OR(E413="kg",E413="l"),D413*1000,D413),"")</f>
      </c>
      <c r="K413" s="5"/>
    </row>
    <row r="414" spans="1:11" x14ac:dyDescent="0.25">
      <c r="A414" s="7"/>
      <c r="B414" s="7"/>
      <c r="C414" s="7"/>
      <c r="D414" s="7"/>
      <c r="E414" s="7"/>
      <c r="F414" s="7"/>
      <c r="G414" s="7"/>
      <c r="H414" s="5"/>
      <c r="I414" s="8">
        <f>IF(E414="","",IF(OR(E414="kg",E414="g"),"g",IF(OR(E414="l",E414="ml"),"ml",IF(E414="un","un",""))))</f>
      </c>
      <c r="J414" s="9">
        <f>IFERROR(F414/IF(OR(E414="kg",E414="l"),D414*1000,D414),"")</f>
      </c>
      <c r="K414" s="5"/>
    </row>
    <row r="415" spans="1:11" x14ac:dyDescent="0.25">
      <c r="A415" s="7"/>
      <c r="B415" s="7"/>
      <c r="C415" s="7"/>
      <c r="D415" s="7"/>
      <c r="E415" s="7"/>
      <c r="F415" s="7"/>
      <c r="G415" s="7"/>
      <c r="H415" s="5"/>
      <c r="I415" s="8">
        <f>IF(E415="","",IF(OR(E415="kg",E415="g"),"g",IF(OR(E415="l",E415="ml"),"ml",IF(E415="un","un",""))))</f>
      </c>
      <c r="J415" s="9">
        <f>IFERROR(F415/IF(OR(E415="kg",E415="l"),D415*1000,D415),"")</f>
      </c>
      <c r="K415" s="5"/>
    </row>
    <row r="416" spans="1:11" x14ac:dyDescent="0.25">
      <c r="A416" s="7"/>
      <c r="B416" s="7"/>
      <c r="C416" s="7"/>
      <c r="D416" s="7"/>
      <c r="E416" s="7"/>
      <c r="F416" s="7"/>
      <c r="G416" s="7"/>
      <c r="H416" s="5"/>
      <c r="I416" s="8">
        <f>IF(E416="","",IF(OR(E416="kg",E416="g"),"g",IF(OR(E416="l",E416="ml"),"ml",IF(E416="un","un",""))))</f>
      </c>
      <c r="J416" s="9">
        <f>IFERROR(F416/IF(OR(E416="kg",E416="l"),D416*1000,D416),"")</f>
      </c>
      <c r="K416" s="5"/>
    </row>
    <row r="417" spans="1:11" x14ac:dyDescent="0.25">
      <c r="A417" s="7"/>
      <c r="B417" s="7"/>
      <c r="C417" s="7"/>
      <c r="D417" s="7"/>
      <c r="E417" s="7"/>
      <c r="F417" s="7"/>
      <c r="G417" s="7"/>
      <c r="H417" s="5"/>
      <c r="I417" s="8">
        <f>IF(E417="","",IF(OR(E417="kg",E417="g"),"g",IF(OR(E417="l",E417="ml"),"ml",IF(E417="un","un",""))))</f>
      </c>
      <c r="J417" s="9">
        <f>IFERROR(F417/IF(OR(E417="kg",E417="l"),D417*1000,D417),"")</f>
      </c>
      <c r="K417" s="5"/>
    </row>
    <row r="418" spans="1:11" x14ac:dyDescent="0.25">
      <c r="A418" s="7"/>
      <c r="B418" s="7"/>
      <c r="C418" s="7"/>
      <c r="D418" s="7"/>
      <c r="E418" s="7"/>
      <c r="F418" s="7"/>
      <c r="G418" s="7"/>
      <c r="H418" s="5"/>
      <c r="I418" s="8">
        <f>IF(E418="","",IF(OR(E418="kg",E418="g"),"g",IF(OR(E418="l",E418="ml"),"ml",IF(E418="un","un",""))))</f>
      </c>
      <c r="J418" s="9">
        <f>IFERROR(F418/IF(OR(E418="kg",E418="l"),D418*1000,D418),"")</f>
      </c>
      <c r="K418" s="5"/>
    </row>
    <row r="419" spans="1:11" x14ac:dyDescent="0.25">
      <c r="A419" s="7"/>
      <c r="B419" s="7"/>
      <c r="C419" s="7"/>
      <c r="D419" s="7"/>
      <c r="E419" s="7"/>
      <c r="F419" s="7"/>
      <c r="G419" s="7"/>
      <c r="H419" s="5"/>
      <c r="I419" s="8">
        <f>IF(E419="","",IF(OR(E419="kg",E419="g"),"g",IF(OR(E419="l",E419="ml"),"ml",IF(E419="un","un",""))))</f>
      </c>
      <c r="J419" s="9">
        <f>IFERROR(F419/IF(OR(E419="kg",E419="l"),D419*1000,D419),"")</f>
      </c>
      <c r="K419" s="5"/>
    </row>
    <row r="420" spans="1:11" x14ac:dyDescent="0.25">
      <c r="A420" s="7"/>
      <c r="B420" s="7"/>
      <c r="C420" s="7"/>
      <c r="D420" s="7"/>
      <c r="E420" s="7"/>
      <c r="F420" s="7"/>
      <c r="G420" s="7"/>
      <c r="H420" s="5"/>
      <c r="I420" s="8">
        <f>IF(E420="","",IF(OR(E420="kg",E420="g"),"g",IF(OR(E420="l",E420="ml"),"ml",IF(E420="un","un",""))))</f>
      </c>
      <c r="J420" s="9">
        <f>IFERROR(F420/IF(OR(E420="kg",E420="l"),D420*1000,D420),"")</f>
      </c>
      <c r="K420" s="5"/>
    </row>
    <row r="421" spans="1:11" x14ac:dyDescent="0.25">
      <c r="A421" s="7"/>
      <c r="B421" s="7"/>
      <c r="C421" s="7"/>
      <c r="D421" s="7"/>
      <c r="E421" s="7"/>
      <c r="F421" s="7"/>
      <c r="G421" s="7"/>
      <c r="H421" s="5"/>
      <c r="I421" s="8">
        <f>IF(E421="","",IF(OR(E421="kg",E421="g"),"g",IF(OR(E421="l",E421="ml"),"ml",IF(E421="un","un",""))))</f>
      </c>
      <c r="J421" s="9">
        <f>IFERROR(F421/IF(OR(E421="kg",E421="l"),D421*1000,D421),"")</f>
      </c>
      <c r="K421" s="5"/>
    </row>
    <row r="422" spans="1:11" x14ac:dyDescent="0.25">
      <c r="A422" s="7"/>
      <c r="B422" s="7"/>
      <c r="C422" s="7"/>
      <c r="D422" s="7"/>
      <c r="E422" s="7"/>
      <c r="F422" s="7"/>
      <c r="G422" s="7"/>
      <c r="H422" s="5"/>
      <c r="I422" s="8">
        <f>IF(E422="","",IF(OR(E422="kg",E422="g"),"g",IF(OR(E422="l",E422="ml"),"ml",IF(E422="un","un",""))))</f>
      </c>
      <c r="J422" s="9">
        <f>IFERROR(F422/IF(OR(E422="kg",E422="l"),D422*1000,D422),"")</f>
      </c>
      <c r="K422" s="5"/>
    </row>
    <row r="423" spans="1:11" x14ac:dyDescent="0.25">
      <c r="A423" s="7"/>
      <c r="B423" s="7"/>
      <c r="C423" s="7"/>
      <c r="D423" s="7"/>
      <c r="E423" s="7"/>
      <c r="F423" s="7"/>
      <c r="G423" s="7"/>
      <c r="H423" s="5"/>
      <c r="I423" s="8">
        <f>IF(E423="","",IF(OR(E423="kg",E423="g"),"g",IF(OR(E423="l",E423="ml"),"ml",IF(E423="un","un",""))))</f>
      </c>
      <c r="J423" s="9">
        <f>IFERROR(F423/IF(OR(E423="kg",E423="l"),D423*1000,D423),"")</f>
      </c>
      <c r="K423" s="5"/>
    </row>
    <row r="424" spans="1:11" x14ac:dyDescent="0.25">
      <c r="A424" s="7"/>
      <c r="B424" s="7"/>
      <c r="C424" s="7"/>
      <c r="D424" s="7"/>
      <c r="E424" s="7"/>
      <c r="F424" s="7"/>
      <c r="G424" s="7"/>
      <c r="H424" s="5"/>
      <c r="I424" s="8">
        <f>IF(E424="","",IF(OR(E424="kg",E424="g"),"g",IF(OR(E424="l",E424="ml"),"ml",IF(E424="un","un",""))))</f>
      </c>
      <c r="J424" s="9">
        <f>IFERROR(F424/IF(OR(E424="kg",E424="l"),D424*1000,D424),"")</f>
      </c>
      <c r="K424" s="5"/>
    </row>
    <row r="425" spans="1:11" x14ac:dyDescent="0.25">
      <c r="A425" s="7"/>
      <c r="B425" s="7"/>
      <c r="C425" s="7"/>
      <c r="D425" s="7"/>
      <c r="E425" s="7"/>
      <c r="F425" s="7"/>
      <c r="G425" s="7"/>
      <c r="H425" s="5"/>
      <c r="I425" s="8">
        <f>IF(E425="","",IF(OR(E425="kg",E425="g"),"g",IF(OR(E425="l",E425="ml"),"ml",IF(E425="un","un",""))))</f>
      </c>
      <c r="J425" s="9">
        <f>IFERROR(F425/IF(OR(E425="kg",E425="l"),D425*1000,D425),"")</f>
      </c>
      <c r="K425" s="5"/>
    </row>
    <row r="426" spans="1:11" x14ac:dyDescent="0.25">
      <c r="A426" s="7"/>
      <c r="B426" s="7"/>
      <c r="C426" s="7"/>
      <c r="D426" s="7"/>
      <c r="E426" s="7"/>
      <c r="F426" s="7"/>
      <c r="G426" s="7"/>
      <c r="H426" s="5"/>
      <c r="I426" s="8">
        <f>IF(E426="","",IF(OR(E426="kg",E426="g"),"g",IF(OR(E426="l",E426="ml"),"ml",IF(E426="un","un",""))))</f>
      </c>
      <c r="J426" s="9">
        <f>IFERROR(F426/IF(OR(E426="kg",E426="l"),D426*1000,D426),"")</f>
      </c>
      <c r="K426" s="5"/>
    </row>
    <row r="427" spans="1:11" x14ac:dyDescent="0.25">
      <c r="A427" s="7"/>
      <c r="B427" s="7"/>
      <c r="C427" s="7"/>
      <c r="D427" s="7"/>
      <c r="E427" s="7"/>
      <c r="F427" s="7"/>
      <c r="G427" s="7"/>
      <c r="H427" s="5"/>
      <c r="I427" s="8">
        <f>IF(E427="","",IF(OR(E427="kg",E427="g"),"g",IF(OR(E427="l",E427="ml"),"ml",IF(E427="un","un",""))))</f>
      </c>
      <c r="J427" s="9">
        <f>IFERROR(F427/IF(OR(E427="kg",E427="l"),D427*1000,D427),"")</f>
      </c>
      <c r="K427" s="5"/>
    </row>
    <row r="428" spans="1:11" x14ac:dyDescent="0.25">
      <c r="A428" s="7"/>
      <c r="B428" s="7"/>
      <c r="C428" s="7"/>
      <c r="D428" s="7"/>
      <c r="E428" s="7"/>
      <c r="F428" s="7"/>
      <c r="G428" s="7"/>
      <c r="H428" s="5"/>
      <c r="I428" s="8">
        <f>IF(E428="","",IF(OR(E428="kg",E428="g"),"g",IF(OR(E428="l",E428="ml"),"ml",IF(E428="un","un",""))))</f>
      </c>
      <c r="J428" s="9">
        <f>IFERROR(F428/IF(OR(E428="kg",E428="l"),D428*1000,D428),"")</f>
      </c>
      <c r="K428" s="5"/>
    </row>
    <row r="429" spans="1:11" x14ac:dyDescent="0.25">
      <c r="A429" s="7"/>
      <c r="B429" s="7"/>
      <c r="C429" s="7"/>
      <c r="D429" s="7"/>
      <c r="E429" s="7"/>
      <c r="F429" s="7"/>
      <c r="G429" s="7"/>
      <c r="H429" s="5"/>
      <c r="I429" s="8">
        <f>IF(E429="","",IF(OR(E429="kg",E429="g"),"g",IF(OR(E429="l",E429="ml"),"ml",IF(E429="un","un",""))))</f>
      </c>
      <c r="J429" s="9">
        <f>IFERROR(F429/IF(OR(E429="kg",E429="l"),D429*1000,D429),"")</f>
      </c>
      <c r="K429" s="5"/>
    </row>
    <row r="430" spans="1:11" x14ac:dyDescent="0.25">
      <c r="A430" s="7"/>
      <c r="B430" s="7"/>
      <c r="C430" s="7"/>
      <c r="D430" s="7"/>
      <c r="E430" s="7"/>
      <c r="F430" s="7"/>
      <c r="G430" s="7"/>
      <c r="H430" s="5"/>
      <c r="I430" s="8">
        <f>IF(E430="","",IF(OR(E430="kg",E430="g"),"g",IF(OR(E430="l",E430="ml"),"ml",IF(E430="un","un",""))))</f>
      </c>
      <c r="J430" s="9">
        <f>IFERROR(F430/IF(OR(E430="kg",E430="l"),D430*1000,D430),"")</f>
      </c>
      <c r="K430" s="5"/>
    </row>
    <row r="431" spans="1:11" x14ac:dyDescent="0.25">
      <c r="A431" s="7"/>
      <c r="B431" s="7"/>
      <c r="C431" s="7"/>
      <c r="D431" s="7"/>
      <c r="E431" s="7"/>
      <c r="F431" s="7"/>
      <c r="G431" s="7"/>
      <c r="H431" s="5"/>
      <c r="I431" s="8">
        <f>IF(E431="","",IF(OR(E431="kg",E431="g"),"g",IF(OR(E431="l",E431="ml"),"ml",IF(E431="un","un",""))))</f>
      </c>
      <c r="J431" s="9">
        <f>IFERROR(F431/IF(OR(E431="kg",E431="l"),D431*1000,D431),"")</f>
      </c>
      <c r="K431" s="5"/>
    </row>
    <row r="432" spans="1:11" x14ac:dyDescent="0.25">
      <c r="A432" s="7"/>
      <c r="B432" s="7"/>
      <c r="C432" s="7"/>
      <c r="D432" s="7"/>
      <c r="E432" s="7"/>
      <c r="F432" s="7"/>
      <c r="G432" s="7"/>
      <c r="H432" s="5"/>
      <c r="I432" s="8">
        <f>IF(E432="","",IF(OR(E432="kg",E432="g"),"g",IF(OR(E432="l",E432="ml"),"ml",IF(E432="un","un",""))))</f>
      </c>
      <c r="J432" s="9">
        <f>IFERROR(F432/IF(OR(E432="kg",E432="l"),D432*1000,D432),"")</f>
      </c>
      <c r="K432" s="5"/>
    </row>
    <row r="433" spans="1:11" x14ac:dyDescent="0.25">
      <c r="A433" s="7"/>
      <c r="B433" s="7"/>
      <c r="C433" s="7"/>
      <c r="D433" s="7"/>
      <c r="E433" s="7"/>
      <c r="F433" s="7"/>
      <c r="G433" s="7"/>
      <c r="H433" s="5"/>
      <c r="I433" s="8">
        <f>IF(E433="","",IF(OR(E433="kg",E433="g"),"g",IF(OR(E433="l",E433="ml"),"ml",IF(E433="un","un",""))))</f>
      </c>
      <c r="J433" s="9">
        <f>IFERROR(F433/IF(OR(E433="kg",E433="l"),D433*1000,D433),"")</f>
      </c>
      <c r="K433" s="5"/>
    </row>
    <row r="434" spans="1:11" x14ac:dyDescent="0.25">
      <c r="A434" s="7"/>
      <c r="B434" s="7"/>
      <c r="C434" s="7"/>
      <c r="D434" s="7"/>
      <c r="E434" s="7"/>
      <c r="F434" s="7"/>
      <c r="G434" s="7"/>
      <c r="H434" s="5"/>
      <c r="I434" s="8">
        <f>IF(E434="","",IF(OR(E434="kg",E434="g"),"g",IF(OR(E434="l",E434="ml"),"ml",IF(E434="un","un",""))))</f>
      </c>
      <c r="J434" s="9">
        <f>IFERROR(F434/IF(OR(E434="kg",E434="l"),D434*1000,D434),"")</f>
      </c>
      <c r="K434" s="5"/>
    </row>
    <row r="435" spans="1:11" x14ac:dyDescent="0.25">
      <c r="A435" s="7"/>
      <c r="B435" s="7"/>
      <c r="C435" s="7"/>
      <c r="D435" s="7"/>
      <c r="E435" s="7"/>
      <c r="F435" s="7"/>
      <c r="G435" s="7"/>
      <c r="H435" s="5"/>
      <c r="I435" s="8">
        <f>IF(E435="","",IF(OR(E435="kg",E435="g"),"g",IF(OR(E435="l",E435="ml"),"ml",IF(E435="un","un",""))))</f>
      </c>
      <c r="J435" s="9">
        <f>IFERROR(F435/IF(OR(E435="kg",E435="l"),D435*1000,D435),"")</f>
      </c>
      <c r="K435" s="5"/>
    </row>
    <row r="436" spans="1:11" x14ac:dyDescent="0.25">
      <c r="A436" s="7"/>
      <c r="B436" s="7"/>
      <c r="C436" s="7"/>
      <c r="D436" s="7"/>
      <c r="E436" s="7"/>
      <c r="F436" s="7"/>
      <c r="G436" s="7"/>
      <c r="H436" s="5"/>
      <c r="I436" s="8">
        <f>IF(E436="","",IF(OR(E436="kg",E436="g"),"g",IF(OR(E436="l",E436="ml"),"ml",IF(E436="un","un",""))))</f>
      </c>
      <c r="J436" s="9">
        <f>IFERROR(F436/IF(OR(E436="kg",E436="l"),D436*1000,D436),"")</f>
      </c>
      <c r="K436" s="5"/>
    </row>
    <row r="437" spans="1:11" x14ac:dyDescent="0.25">
      <c r="A437" s="7"/>
      <c r="B437" s="7"/>
      <c r="C437" s="7"/>
      <c r="D437" s="7"/>
      <c r="E437" s="7"/>
      <c r="F437" s="7"/>
      <c r="G437" s="7"/>
      <c r="H437" s="5"/>
      <c r="I437" s="8">
        <f>IF(E437="","",IF(OR(E437="kg",E437="g"),"g",IF(OR(E437="l",E437="ml"),"ml",IF(E437="un","un",""))))</f>
      </c>
      <c r="J437" s="9">
        <f>IFERROR(F437/IF(OR(E437="kg",E437="l"),D437*1000,D437),"")</f>
      </c>
      <c r="K437" s="5"/>
    </row>
    <row r="438" spans="1:11" x14ac:dyDescent="0.25">
      <c r="A438" s="7"/>
      <c r="B438" s="7"/>
      <c r="C438" s="7"/>
      <c r="D438" s="7"/>
      <c r="E438" s="7"/>
      <c r="F438" s="7"/>
      <c r="G438" s="7"/>
      <c r="H438" s="5"/>
      <c r="I438" s="8">
        <f>IF(E438="","",IF(OR(E438="kg",E438="g"),"g",IF(OR(E438="l",E438="ml"),"ml",IF(E438="un","un",""))))</f>
      </c>
      <c r="J438" s="9">
        <f>IFERROR(F438/IF(OR(E438="kg",E438="l"),D438*1000,D438),"")</f>
      </c>
      <c r="K438" s="5"/>
    </row>
    <row r="439" spans="1:11" x14ac:dyDescent="0.25">
      <c r="A439" s="7"/>
      <c r="B439" s="7"/>
      <c r="C439" s="7"/>
      <c r="D439" s="7"/>
      <c r="E439" s="7"/>
      <c r="F439" s="7"/>
      <c r="G439" s="7"/>
      <c r="H439" s="5"/>
      <c r="I439" s="8">
        <f>IF(E439="","",IF(OR(E439="kg",E439="g"),"g",IF(OR(E439="l",E439="ml"),"ml",IF(E439="un","un",""))))</f>
      </c>
      <c r="J439" s="9">
        <f>IFERROR(F439/IF(OR(E439="kg",E439="l"),D439*1000,D439),"")</f>
      </c>
      <c r="K439" s="5"/>
    </row>
    <row r="440" spans="1:11" x14ac:dyDescent="0.25">
      <c r="A440" s="7"/>
      <c r="B440" s="7"/>
      <c r="C440" s="7"/>
      <c r="D440" s="7"/>
      <c r="E440" s="7"/>
      <c r="F440" s="7"/>
      <c r="G440" s="7"/>
      <c r="H440" s="5"/>
      <c r="I440" s="8">
        <f>IF(E440="","",IF(OR(E440="kg",E440="g"),"g",IF(OR(E440="l",E440="ml"),"ml",IF(E440="un","un",""))))</f>
      </c>
      <c r="J440" s="9">
        <f>IFERROR(F440/IF(OR(E440="kg",E440="l"),D440*1000,D440),"")</f>
      </c>
      <c r="K440" s="5"/>
    </row>
    <row r="441" spans="1:11" x14ac:dyDescent="0.25">
      <c r="A441" s="7"/>
      <c r="B441" s="7"/>
      <c r="C441" s="7"/>
      <c r="D441" s="7"/>
      <c r="E441" s="7"/>
      <c r="F441" s="7"/>
      <c r="G441" s="7"/>
      <c r="H441" s="5"/>
      <c r="I441" s="8">
        <f>IF(E441="","",IF(OR(E441="kg",E441="g"),"g",IF(OR(E441="l",E441="ml"),"ml",IF(E441="un","un",""))))</f>
      </c>
      <c r="J441" s="9">
        <f>IFERROR(F441/IF(OR(E441="kg",E441="l"),D441*1000,D441),"")</f>
      </c>
      <c r="K441" s="5"/>
    </row>
    <row r="442" spans="1:11" x14ac:dyDescent="0.25">
      <c r="A442" s="7"/>
      <c r="B442" s="7"/>
      <c r="C442" s="7"/>
      <c r="D442" s="7"/>
      <c r="E442" s="7"/>
      <c r="F442" s="7"/>
      <c r="G442" s="7"/>
      <c r="H442" s="5"/>
      <c r="I442" s="8">
        <f>IF(E442="","",IF(OR(E442="kg",E442="g"),"g",IF(OR(E442="l",E442="ml"),"ml",IF(E442="un","un",""))))</f>
      </c>
      <c r="J442" s="9">
        <f>IFERROR(F442/IF(OR(E442="kg",E442="l"),D442*1000,D442),"")</f>
      </c>
      <c r="K442" s="5"/>
    </row>
    <row r="443" spans="1:11" x14ac:dyDescent="0.25">
      <c r="A443" s="7"/>
      <c r="B443" s="7"/>
      <c r="C443" s="7"/>
      <c r="D443" s="7"/>
      <c r="E443" s="7"/>
      <c r="F443" s="7"/>
      <c r="G443" s="7"/>
      <c r="H443" s="5"/>
      <c r="I443" s="8">
        <f>IF(E443="","",IF(OR(E443="kg",E443="g"),"g",IF(OR(E443="l",E443="ml"),"ml",IF(E443="un","un",""))))</f>
      </c>
      <c r="J443" s="9">
        <f>IFERROR(F443/IF(OR(E443="kg",E443="l"),D443*1000,D443),"")</f>
      </c>
      <c r="K443" s="5"/>
    </row>
    <row r="444" spans="1:11" x14ac:dyDescent="0.25">
      <c r="A444" s="7"/>
      <c r="B444" s="7"/>
      <c r="C444" s="7"/>
      <c r="D444" s="7"/>
      <c r="E444" s="7"/>
      <c r="F444" s="7"/>
      <c r="G444" s="7"/>
      <c r="H444" s="5"/>
      <c r="I444" s="8">
        <f>IF(E444="","",IF(OR(E444="kg",E444="g"),"g",IF(OR(E444="l",E444="ml"),"ml",IF(E444="un","un",""))))</f>
      </c>
      <c r="J444" s="9">
        <f>IFERROR(F444/IF(OR(E444="kg",E444="l"),D444*1000,D444),"")</f>
      </c>
      <c r="K444" s="5"/>
    </row>
    <row r="445" spans="1:11" x14ac:dyDescent="0.25">
      <c r="A445" s="7"/>
      <c r="B445" s="7"/>
      <c r="C445" s="7"/>
      <c r="D445" s="7"/>
      <c r="E445" s="7"/>
      <c r="F445" s="7"/>
      <c r="G445" s="7"/>
      <c r="H445" s="5"/>
      <c r="I445" s="8">
        <f>IF(E445="","",IF(OR(E445="kg",E445="g"),"g",IF(OR(E445="l",E445="ml"),"ml",IF(E445="un","un",""))))</f>
      </c>
      <c r="J445" s="9">
        <f>IFERROR(F445/IF(OR(E445="kg",E445="l"),D445*1000,D445),"")</f>
      </c>
      <c r="K445" s="5"/>
    </row>
    <row r="446" spans="1:11" x14ac:dyDescent="0.25">
      <c r="A446" s="7"/>
      <c r="B446" s="7"/>
      <c r="C446" s="7"/>
      <c r="D446" s="7"/>
      <c r="E446" s="7"/>
      <c r="F446" s="7"/>
      <c r="G446" s="7"/>
      <c r="H446" s="5"/>
      <c r="I446" s="8">
        <f>IF(E446="","",IF(OR(E446="kg",E446="g"),"g",IF(OR(E446="l",E446="ml"),"ml",IF(E446="un","un",""))))</f>
      </c>
      <c r="J446" s="9">
        <f>IFERROR(F446/IF(OR(E446="kg",E446="l"),D446*1000,D446),"")</f>
      </c>
      <c r="K446" s="5"/>
    </row>
    <row r="447" spans="1:11" x14ac:dyDescent="0.25">
      <c r="A447" s="7"/>
      <c r="B447" s="7"/>
      <c r="C447" s="7"/>
      <c r="D447" s="7"/>
      <c r="E447" s="7"/>
      <c r="F447" s="7"/>
      <c r="G447" s="7"/>
      <c r="H447" s="5"/>
      <c r="I447" s="8">
        <f>IF(E447="","",IF(OR(E447="kg",E447="g"),"g",IF(OR(E447="l",E447="ml"),"ml",IF(E447="un","un",""))))</f>
      </c>
      <c r="J447" s="9">
        <f>IFERROR(F447/IF(OR(E447="kg",E447="l"),D447*1000,D447),"")</f>
      </c>
      <c r="K447" s="5"/>
    </row>
    <row r="448" spans="1:11" x14ac:dyDescent="0.25">
      <c r="A448" s="7"/>
      <c r="B448" s="7"/>
      <c r="C448" s="7"/>
      <c r="D448" s="7"/>
      <c r="E448" s="7"/>
      <c r="F448" s="7"/>
      <c r="G448" s="7"/>
      <c r="H448" s="5"/>
      <c r="I448" s="8">
        <f>IF(E448="","",IF(OR(E448="kg",E448="g"),"g",IF(OR(E448="l",E448="ml"),"ml",IF(E448="un","un",""))))</f>
      </c>
      <c r="J448" s="9">
        <f>IFERROR(F448/IF(OR(E448="kg",E448="l"),D448*1000,D448),"")</f>
      </c>
      <c r="K448" s="5"/>
    </row>
    <row r="449" spans="1:11" x14ac:dyDescent="0.25">
      <c r="A449" s="7"/>
      <c r="B449" s="7"/>
      <c r="C449" s="7"/>
      <c r="D449" s="7"/>
      <c r="E449" s="7"/>
      <c r="F449" s="7"/>
      <c r="G449" s="7"/>
      <c r="H449" s="5"/>
      <c r="I449" s="8">
        <f>IF(E449="","",IF(OR(E449="kg",E449="g"),"g",IF(OR(E449="l",E449="ml"),"ml",IF(E449="un","un",""))))</f>
      </c>
      <c r="J449" s="9">
        <f>IFERROR(F449/IF(OR(E449="kg",E449="l"),D449*1000,D449),"")</f>
      </c>
      <c r="K449" s="5"/>
    </row>
    <row r="450" spans="1:11" x14ac:dyDescent="0.25">
      <c r="A450" s="7"/>
      <c r="B450" s="7"/>
      <c r="C450" s="7"/>
      <c r="D450" s="7"/>
      <c r="E450" s="7"/>
      <c r="F450" s="7"/>
      <c r="G450" s="7"/>
      <c r="H450" s="5"/>
      <c r="I450" s="8">
        <f>IF(E450="","",IF(OR(E450="kg",E450="g"),"g",IF(OR(E450="l",E450="ml"),"ml",IF(E450="un","un",""))))</f>
      </c>
      <c r="J450" s="9">
        <f>IFERROR(F450/IF(OR(E450="kg",E450="l"),D450*1000,D450),"")</f>
      </c>
      <c r="K450" s="5"/>
    </row>
    <row r="451" spans="1:11" x14ac:dyDescent="0.25">
      <c r="A451" s="7"/>
      <c r="B451" s="7"/>
      <c r="C451" s="7"/>
      <c r="D451" s="7"/>
      <c r="E451" s="7"/>
      <c r="F451" s="7"/>
      <c r="G451" s="7"/>
      <c r="H451" s="5"/>
      <c r="I451" s="8">
        <f>IF(E451="","",IF(OR(E451="kg",E451="g"),"g",IF(OR(E451="l",E451="ml"),"ml",IF(E451="un","un",""))))</f>
      </c>
      <c r="J451" s="9">
        <f>IFERROR(F451/IF(OR(E451="kg",E451="l"),D451*1000,D451),"")</f>
      </c>
      <c r="K451" s="5"/>
    </row>
    <row r="452" spans="1:11" x14ac:dyDescent="0.25">
      <c r="A452" s="7"/>
      <c r="B452" s="7"/>
      <c r="C452" s="7"/>
      <c r="D452" s="7"/>
      <c r="E452" s="7"/>
      <c r="F452" s="7"/>
      <c r="G452" s="7"/>
      <c r="H452" s="5"/>
      <c r="I452" s="8">
        <f>IF(E452="","",IF(OR(E452="kg",E452="g"),"g",IF(OR(E452="l",E452="ml"),"ml",IF(E452="un","un",""))))</f>
      </c>
      <c r="J452" s="9">
        <f>IFERROR(F452/IF(OR(E452="kg",E452="l"),D452*1000,D452),"")</f>
      </c>
      <c r="K452" s="5"/>
    </row>
    <row r="453" spans="1:11" x14ac:dyDescent="0.25">
      <c r="A453" s="7"/>
      <c r="B453" s="7"/>
      <c r="C453" s="7"/>
      <c r="D453" s="7"/>
      <c r="E453" s="7"/>
      <c r="F453" s="7"/>
      <c r="G453" s="7"/>
      <c r="H453" s="5"/>
      <c r="I453" s="8">
        <f>IF(E453="","",IF(OR(E453="kg",E453="g"),"g",IF(OR(E453="l",E453="ml"),"ml",IF(E453="un","un",""))))</f>
      </c>
      <c r="J453" s="9">
        <f>IFERROR(F453/IF(OR(E453="kg",E453="l"),D453*1000,D453),"")</f>
      </c>
      <c r="K453" s="5"/>
    </row>
    <row r="454" spans="1:11" x14ac:dyDescent="0.25">
      <c r="A454" s="7"/>
      <c r="B454" s="7"/>
      <c r="C454" s="7"/>
      <c r="D454" s="7"/>
      <c r="E454" s="7"/>
      <c r="F454" s="7"/>
      <c r="G454" s="7"/>
      <c r="H454" s="5"/>
      <c r="I454" s="8">
        <f>IF(E454="","",IF(OR(E454="kg",E454="g"),"g",IF(OR(E454="l",E454="ml"),"ml",IF(E454="un","un",""))))</f>
      </c>
      <c r="J454" s="9">
        <f>IFERROR(F454/IF(OR(E454="kg",E454="l"),D454*1000,D454),"")</f>
      </c>
      <c r="K454" s="5"/>
    </row>
    <row r="455" spans="1:11" x14ac:dyDescent="0.25">
      <c r="A455" s="7"/>
      <c r="B455" s="7"/>
      <c r="C455" s="7"/>
      <c r="D455" s="7"/>
      <c r="E455" s="7"/>
      <c r="F455" s="7"/>
      <c r="G455" s="7"/>
      <c r="H455" s="5"/>
      <c r="I455" s="8">
        <f>IF(E455="","",IF(OR(E455="kg",E455="g"),"g",IF(OR(E455="l",E455="ml"),"ml",IF(E455="un","un",""))))</f>
      </c>
      <c r="J455" s="9">
        <f>IFERROR(F455/IF(OR(E455="kg",E455="l"),D455*1000,D455),"")</f>
      </c>
      <c r="K455" s="5"/>
    </row>
    <row r="456" spans="1:11" x14ac:dyDescent="0.25">
      <c r="A456" s="7"/>
      <c r="B456" s="7"/>
      <c r="C456" s="7"/>
      <c r="D456" s="7"/>
      <c r="E456" s="7"/>
      <c r="F456" s="7"/>
      <c r="G456" s="7"/>
      <c r="H456" s="5"/>
      <c r="I456" s="8">
        <f>IF(E456="","",IF(OR(E456="kg",E456="g"),"g",IF(OR(E456="l",E456="ml"),"ml",IF(E456="un","un",""))))</f>
      </c>
      <c r="J456" s="9">
        <f>IFERROR(F456/IF(OR(E456="kg",E456="l"),D456*1000,D456),"")</f>
      </c>
      <c r="K456" s="5"/>
    </row>
    <row r="457" spans="1:11" x14ac:dyDescent="0.25">
      <c r="A457" s="7"/>
      <c r="B457" s="7"/>
      <c r="C457" s="7"/>
      <c r="D457" s="7"/>
      <c r="E457" s="7"/>
      <c r="F457" s="7"/>
      <c r="G457" s="7"/>
      <c r="H457" s="5"/>
      <c r="I457" s="8">
        <f>IF(E457="","",IF(OR(E457="kg",E457="g"),"g",IF(OR(E457="l",E457="ml"),"ml",IF(E457="un","un",""))))</f>
      </c>
      <c r="J457" s="9">
        <f>IFERROR(F457/IF(OR(E457="kg",E457="l"),D457*1000,D457),"")</f>
      </c>
      <c r="K457" s="5"/>
    </row>
    <row r="458" spans="1:11" x14ac:dyDescent="0.25">
      <c r="A458" s="7"/>
      <c r="B458" s="7"/>
      <c r="C458" s="7"/>
      <c r="D458" s="7"/>
      <c r="E458" s="7"/>
      <c r="F458" s="7"/>
      <c r="G458" s="7"/>
      <c r="H458" s="5"/>
      <c r="I458" s="8">
        <f>IF(E458="","",IF(OR(E458="kg",E458="g"),"g",IF(OR(E458="l",E458="ml"),"ml",IF(E458="un","un",""))))</f>
      </c>
      <c r="J458" s="9">
        <f>IFERROR(F458/IF(OR(E458="kg",E458="l"),D458*1000,D458),"")</f>
      </c>
      <c r="K458" s="5"/>
    </row>
    <row r="459" spans="1:11" x14ac:dyDescent="0.25">
      <c r="A459" s="7"/>
      <c r="B459" s="7"/>
      <c r="C459" s="7"/>
      <c r="D459" s="7"/>
      <c r="E459" s="7"/>
      <c r="F459" s="7"/>
      <c r="G459" s="7"/>
      <c r="H459" s="5"/>
      <c r="I459" s="8">
        <f>IF(E459="","",IF(OR(E459="kg",E459="g"),"g",IF(OR(E459="l",E459="ml"),"ml",IF(E459="un","un",""))))</f>
      </c>
      <c r="J459" s="9">
        <f>IFERROR(F459/IF(OR(E459="kg",E459="l"),D459*1000,D459),"")</f>
      </c>
      <c r="K459" s="5"/>
    </row>
    <row r="460" spans="1:11" x14ac:dyDescent="0.25">
      <c r="A460" s="7"/>
      <c r="B460" s="7"/>
      <c r="C460" s="7"/>
      <c r="D460" s="7"/>
      <c r="E460" s="7"/>
      <c r="F460" s="7"/>
      <c r="G460" s="7"/>
      <c r="H460" s="5"/>
      <c r="I460" s="8">
        <f>IF(E460="","",IF(OR(E460="kg",E460="g"),"g",IF(OR(E460="l",E460="ml"),"ml",IF(E460="un","un",""))))</f>
      </c>
      <c r="J460" s="9">
        <f>IFERROR(F460/IF(OR(E460="kg",E460="l"),D460*1000,D460),"")</f>
      </c>
      <c r="K460" s="5"/>
    </row>
    <row r="461" spans="1:11" x14ac:dyDescent="0.25">
      <c r="A461" s="7"/>
      <c r="B461" s="7"/>
      <c r="C461" s="7"/>
      <c r="D461" s="7"/>
      <c r="E461" s="7"/>
      <c r="F461" s="7"/>
      <c r="G461" s="7"/>
      <c r="H461" s="5"/>
      <c r="I461" s="8">
        <f>IF(E461="","",IF(OR(E461="kg",E461="g"),"g",IF(OR(E461="l",E461="ml"),"ml",IF(E461="un","un",""))))</f>
      </c>
      <c r="J461" s="9">
        <f>IFERROR(F461/IF(OR(E461="kg",E461="l"),D461*1000,D461),"")</f>
      </c>
      <c r="K461" s="5"/>
    </row>
    <row r="462" spans="1:11" x14ac:dyDescent="0.25">
      <c r="A462" s="7"/>
      <c r="B462" s="7"/>
      <c r="C462" s="7"/>
      <c r="D462" s="7"/>
      <c r="E462" s="7"/>
      <c r="F462" s="7"/>
      <c r="G462" s="7"/>
      <c r="H462" s="5"/>
      <c r="I462" s="8">
        <f>IF(E462="","",IF(OR(E462="kg",E462="g"),"g",IF(OR(E462="l",E462="ml"),"ml",IF(E462="un","un",""))))</f>
      </c>
      <c r="J462" s="9">
        <f>IFERROR(F462/IF(OR(E462="kg",E462="l"),D462*1000,D462),"")</f>
      </c>
      <c r="K462" s="5"/>
    </row>
    <row r="463" spans="1:11" x14ac:dyDescent="0.25">
      <c r="A463" s="7"/>
      <c r="B463" s="7"/>
      <c r="C463" s="7"/>
      <c r="D463" s="7"/>
      <c r="E463" s="7"/>
      <c r="F463" s="7"/>
      <c r="G463" s="7"/>
      <c r="H463" s="5"/>
      <c r="I463" s="8">
        <f>IF(E463="","",IF(OR(E463="kg",E463="g"),"g",IF(OR(E463="l",E463="ml"),"ml",IF(E463="un","un",""))))</f>
      </c>
      <c r="J463" s="9">
        <f>IFERROR(F463/IF(OR(E463="kg",E463="l"),D463*1000,D463),"")</f>
      </c>
      <c r="K463" s="5"/>
    </row>
    <row r="464" spans="1:11" x14ac:dyDescent="0.25">
      <c r="A464" s="7"/>
      <c r="B464" s="7"/>
      <c r="C464" s="7"/>
      <c r="D464" s="7"/>
      <c r="E464" s="7"/>
      <c r="F464" s="7"/>
      <c r="G464" s="7"/>
      <c r="H464" s="5"/>
      <c r="I464" s="8">
        <f>IF(E464="","",IF(OR(E464="kg",E464="g"),"g",IF(OR(E464="l",E464="ml"),"ml",IF(E464="un","un",""))))</f>
      </c>
      <c r="J464" s="9">
        <f>IFERROR(F464/IF(OR(E464="kg",E464="l"),D464*1000,D464),"")</f>
      </c>
      <c r="K464" s="5"/>
    </row>
    <row r="465" spans="1:11" x14ac:dyDescent="0.25">
      <c r="A465" s="7"/>
      <c r="B465" s="7"/>
      <c r="C465" s="7"/>
      <c r="D465" s="7"/>
      <c r="E465" s="7"/>
      <c r="F465" s="7"/>
      <c r="G465" s="7"/>
      <c r="H465" s="5"/>
      <c r="I465" s="8">
        <f>IF(E465="","",IF(OR(E465="kg",E465="g"),"g",IF(OR(E465="l",E465="ml"),"ml",IF(E465="un","un",""))))</f>
      </c>
      <c r="J465" s="9">
        <f>IFERROR(F465/IF(OR(E465="kg",E465="l"),D465*1000,D465),"")</f>
      </c>
      <c r="K465" s="5"/>
    </row>
    <row r="466" spans="1:11" x14ac:dyDescent="0.25">
      <c r="A466" s="7"/>
      <c r="B466" s="7"/>
      <c r="C466" s="7"/>
      <c r="D466" s="7"/>
      <c r="E466" s="7"/>
      <c r="F466" s="7"/>
      <c r="G466" s="7"/>
      <c r="H466" s="5"/>
      <c r="I466" s="8">
        <f>IF(E466="","",IF(OR(E466="kg",E466="g"),"g",IF(OR(E466="l",E466="ml"),"ml",IF(E466="un","un",""))))</f>
      </c>
      <c r="J466" s="9">
        <f>IFERROR(F466/IF(OR(E466="kg",E466="l"),D466*1000,D466),"")</f>
      </c>
      <c r="K466" s="5"/>
    </row>
    <row r="467" spans="1:11" x14ac:dyDescent="0.25">
      <c r="A467" s="7"/>
      <c r="B467" s="7"/>
      <c r="C467" s="7"/>
      <c r="D467" s="7"/>
      <c r="E467" s="7"/>
      <c r="F467" s="7"/>
      <c r="G467" s="7"/>
      <c r="H467" s="5"/>
      <c r="I467" s="8">
        <f>IF(E467="","",IF(OR(E467="kg",E467="g"),"g",IF(OR(E467="l",E467="ml"),"ml",IF(E467="un","un",""))))</f>
      </c>
      <c r="J467" s="9">
        <f>IFERROR(F467/IF(OR(E467="kg",E467="l"),D467*1000,D467),"")</f>
      </c>
      <c r="K467" s="5"/>
    </row>
    <row r="468" spans="1:11" x14ac:dyDescent="0.25">
      <c r="A468" s="7"/>
      <c r="B468" s="7"/>
      <c r="C468" s="7"/>
      <c r="D468" s="7"/>
      <c r="E468" s="7"/>
      <c r="F468" s="7"/>
      <c r="G468" s="7"/>
      <c r="H468" s="5"/>
      <c r="I468" s="8">
        <f>IF(E468="","",IF(OR(E468="kg",E468="g"),"g",IF(OR(E468="l",E468="ml"),"ml",IF(E468="un","un",""))))</f>
      </c>
      <c r="J468" s="9">
        <f>IFERROR(F468/IF(OR(E468="kg",E468="l"),D468*1000,D468),"")</f>
      </c>
      <c r="K468" s="5"/>
    </row>
    <row r="469" spans="1:11" x14ac:dyDescent="0.25">
      <c r="A469" s="7"/>
      <c r="B469" s="7"/>
      <c r="C469" s="7"/>
      <c r="D469" s="7"/>
      <c r="E469" s="7"/>
      <c r="F469" s="7"/>
      <c r="G469" s="7"/>
      <c r="H469" s="5"/>
      <c r="I469" s="8">
        <f>IF(E469="","",IF(OR(E469="kg",E469="g"),"g",IF(OR(E469="l",E469="ml"),"ml",IF(E469="un","un",""))))</f>
      </c>
      <c r="J469" s="9">
        <f>IFERROR(F469/IF(OR(E469="kg",E469="l"),D469*1000,D469),"")</f>
      </c>
      <c r="K469" s="5"/>
    </row>
    <row r="470" spans="1:11" x14ac:dyDescent="0.25">
      <c r="A470" s="7"/>
      <c r="B470" s="7"/>
      <c r="C470" s="7"/>
      <c r="D470" s="7"/>
      <c r="E470" s="7"/>
      <c r="F470" s="7"/>
      <c r="G470" s="7"/>
      <c r="H470" s="5"/>
      <c r="I470" s="8">
        <f>IF(E470="","",IF(OR(E470="kg",E470="g"),"g",IF(OR(E470="l",E470="ml"),"ml",IF(E470="un","un",""))))</f>
      </c>
      <c r="J470" s="9">
        <f>IFERROR(F470/IF(OR(E470="kg",E470="l"),D470*1000,D470),"")</f>
      </c>
      <c r="K470" s="5"/>
    </row>
    <row r="471" spans="1:11" x14ac:dyDescent="0.25">
      <c r="A471" s="7"/>
      <c r="B471" s="7"/>
      <c r="C471" s="7"/>
      <c r="D471" s="7"/>
      <c r="E471" s="7"/>
      <c r="F471" s="7"/>
      <c r="G471" s="7"/>
      <c r="H471" s="5"/>
      <c r="I471" s="8">
        <f>IF(E471="","",IF(OR(E471="kg",E471="g"),"g",IF(OR(E471="l",E471="ml"),"ml",IF(E471="un","un",""))))</f>
      </c>
      <c r="J471" s="9">
        <f>IFERROR(F471/IF(OR(E471="kg",E471="l"),D471*1000,D471),"")</f>
      </c>
      <c r="K471" s="5"/>
    </row>
    <row r="472" spans="1:11" x14ac:dyDescent="0.25">
      <c r="A472" s="7"/>
      <c r="B472" s="7"/>
      <c r="C472" s="7"/>
      <c r="D472" s="7"/>
      <c r="E472" s="7"/>
      <c r="F472" s="7"/>
      <c r="G472" s="7"/>
      <c r="H472" s="5"/>
      <c r="I472" s="8">
        <f>IF(E472="","",IF(OR(E472="kg",E472="g"),"g",IF(OR(E472="l",E472="ml"),"ml",IF(E472="un","un",""))))</f>
      </c>
      <c r="J472" s="9">
        <f>IFERROR(F472/IF(OR(E472="kg",E472="l"),D472*1000,D472),"")</f>
      </c>
      <c r="K472" s="5"/>
    </row>
    <row r="473" spans="1:11" x14ac:dyDescent="0.25">
      <c r="A473" s="7"/>
      <c r="B473" s="7"/>
      <c r="C473" s="7"/>
      <c r="D473" s="7"/>
      <c r="E473" s="7"/>
      <c r="F473" s="7"/>
      <c r="G473" s="7"/>
      <c r="H473" s="5"/>
      <c r="I473" s="8">
        <f>IF(E473="","",IF(OR(E473="kg",E473="g"),"g",IF(OR(E473="l",E473="ml"),"ml",IF(E473="un","un",""))))</f>
      </c>
      <c r="J473" s="9">
        <f>IFERROR(F473/IF(OR(E473="kg",E473="l"),D473*1000,D473),"")</f>
      </c>
      <c r="K473" s="5"/>
    </row>
    <row r="474" spans="1:11" x14ac:dyDescent="0.25">
      <c r="A474" s="7"/>
      <c r="B474" s="7"/>
      <c r="C474" s="7"/>
      <c r="D474" s="7"/>
      <c r="E474" s="7"/>
      <c r="F474" s="7"/>
      <c r="G474" s="7"/>
      <c r="H474" s="5"/>
      <c r="I474" s="8">
        <f>IF(E474="","",IF(OR(E474="kg",E474="g"),"g",IF(OR(E474="l",E474="ml"),"ml",IF(E474="un","un",""))))</f>
      </c>
      <c r="J474" s="9">
        <f>IFERROR(F474/IF(OR(E474="kg",E474="l"),D474*1000,D474),"")</f>
      </c>
      <c r="K474" s="5"/>
    </row>
    <row r="475" spans="1:11" x14ac:dyDescent="0.25">
      <c r="A475" s="7"/>
      <c r="B475" s="7"/>
      <c r="C475" s="7"/>
      <c r="D475" s="7"/>
      <c r="E475" s="7"/>
      <c r="F475" s="7"/>
      <c r="G475" s="7"/>
      <c r="H475" s="5"/>
      <c r="I475" s="8">
        <f>IF(E475="","",IF(OR(E475="kg",E475="g"),"g",IF(OR(E475="l",E475="ml"),"ml",IF(E475="un","un",""))))</f>
      </c>
      <c r="J475" s="9">
        <f>IFERROR(F475/IF(OR(E475="kg",E475="l"),D475*1000,D475),"")</f>
      </c>
      <c r="K475" s="5"/>
    </row>
    <row r="476" spans="1:11" x14ac:dyDescent="0.25">
      <c r="A476" s="7"/>
      <c r="B476" s="7"/>
      <c r="C476" s="7"/>
      <c r="D476" s="7"/>
      <c r="E476" s="7"/>
      <c r="F476" s="7"/>
      <c r="G476" s="7"/>
      <c r="H476" s="5"/>
      <c r="I476" s="8">
        <f>IF(E476="","",IF(OR(E476="kg",E476="g"),"g",IF(OR(E476="l",E476="ml"),"ml",IF(E476="un","un",""))))</f>
      </c>
      <c r="J476" s="9">
        <f>IFERROR(F476/IF(OR(E476="kg",E476="l"),D476*1000,D476),"")</f>
      </c>
      <c r="K476" s="5"/>
    </row>
    <row r="477" spans="1:11" x14ac:dyDescent="0.25">
      <c r="A477" s="7"/>
      <c r="B477" s="7"/>
      <c r="C477" s="7"/>
      <c r="D477" s="7"/>
      <c r="E477" s="7"/>
      <c r="F477" s="7"/>
      <c r="G477" s="7"/>
      <c r="H477" s="5"/>
      <c r="I477" s="8">
        <f>IF(E477="","",IF(OR(E477="kg",E477="g"),"g",IF(OR(E477="l",E477="ml"),"ml",IF(E477="un","un",""))))</f>
      </c>
      <c r="J477" s="9">
        <f>IFERROR(F477/IF(OR(E477="kg",E477="l"),D477*1000,D477),"")</f>
      </c>
      <c r="K477" s="5"/>
    </row>
    <row r="478" spans="1:11" x14ac:dyDescent="0.25">
      <c r="A478" s="7"/>
      <c r="B478" s="7"/>
      <c r="C478" s="7"/>
      <c r="D478" s="7"/>
      <c r="E478" s="7"/>
      <c r="F478" s="7"/>
      <c r="G478" s="7"/>
      <c r="H478" s="5"/>
      <c r="I478" s="8">
        <f>IF(E478="","",IF(OR(E478="kg",E478="g"),"g",IF(OR(E478="l",E478="ml"),"ml",IF(E478="un","un",""))))</f>
      </c>
      <c r="J478" s="9">
        <f>IFERROR(F478/IF(OR(E478="kg",E478="l"),D478*1000,D478),"")</f>
      </c>
      <c r="K478" s="5"/>
    </row>
    <row r="479" spans="1:11" x14ac:dyDescent="0.25">
      <c r="A479" s="7"/>
      <c r="B479" s="7"/>
      <c r="C479" s="7"/>
      <c r="D479" s="7"/>
      <c r="E479" s="7"/>
      <c r="F479" s="7"/>
      <c r="G479" s="7"/>
      <c r="H479" s="5"/>
      <c r="I479" s="8">
        <f>IF(E479="","",IF(OR(E479="kg",E479="g"),"g",IF(OR(E479="l",E479="ml"),"ml",IF(E479="un","un",""))))</f>
      </c>
      <c r="J479" s="9">
        <f>IFERROR(F479/IF(OR(E479="kg",E479="l"),D479*1000,D479),"")</f>
      </c>
      <c r="K479" s="5"/>
    </row>
    <row r="480" spans="1:11" x14ac:dyDescent="0.25">
      <c r="A480" s="7"/>
      <c r="B480" s="7"/>
      <c r="C480" s="7"/>
      <c r="D480" s="7"/>
      <c r="E480" s="7"/>
      <c r="F480" s="7"/>
      <c r="G480" s="7"/>
      <c r="H480" s="5"/>
      <c r="I480" s="8">
        <f>IF(E480="","",IF(OR(E480="kg",E480="g"),"g",IF(OR(E480="l",E480="ml"),"ml",IF(E480="un","un",""))))</f>
      </c>
      <c r="J480" s="9">
        <f>IFERROR(F480/IF(OR(E480="kg",E480="l"),D480*1000,D480),"")</f>
      </c>
      <c r="K480" s="5"/>
    </row>
    <row r="481" spans="1:11" x14ac:dyDescent="0.25">
      <c r="A481" s="7"/>
      <c r="B481" s="7"/>
      <c r="C481" s="7"/>
      <c r="D481" s="7"/>
      <c r="E481" s="7"/>
      <c r="F481" s="7"/>
      <c r="G481" s="7"/>
      <c r="H481" s="5"/>
      <c r="I481" s="8">
        <f>IF(E481="","",IF(OR(E481="kg",E481="g"),"g",IF(OR(E481="l",E481="ml"),"ml",IF(E481="un","un",""))))</f>
      </c>
      <c r="J481" s="9">
        <f>IFERROR(F481/IF(OR(E481="kg",E481="l"),D481*1000,D481),"")</f>
      </c>
      <c r="K481" s="5"/>
    </row>
    <row r="482" spans="1:11" x14ac:dyDescent="0.25">
      <c r="A482" s="7"/>
      <c r="B482" s="7"/>
      <c r="C482" s="7"/>
      <c r="D482" s="7"/>
      <c r="E482" s="7"/>
      <c r="F482" s="7"/>
      <c r="G482" s="7"/>
      <c r="H482" s="5"/>
      <c r="I482" s="8">
        <f>IF(E482="","",IF(OR(E482="kg",E482="g"),"g",IF(OR(E482="l",E482="ml"),"ml",IF(E482="un","un",""))))</f>
      </c>
      <c r="J482" s="9">
        <f>IFERROR(F482/IF(OR(E482="kg",E482="l"),D482*1000,D482),"")</f>
      </c>
      <c r="K482" s="5"/>
    </row>
    <row r="483" spans="1:11" x14ac:dyDescent="0.25">
      <c r="A483" s="7"/>
      <c r="B483" s="7"/>
      <c r="C483" s="7"/>
      <c r="D483" s="7"/>
      <c r="E483" s="7"/>
      <c r="F483" s="7"/>
      <c r="G483" s="7"/>
      <c r="H483" s="5"/>
      <c r="I483" s="8">
        <f>IF(E483="","",IF(OR(E483="kg",E483="g"),"g",IF(OR(E483="l",E483="ml"),"ml",IF(E483="un","un",""))))</f>
      </c>
      <c r="J483" s="9">
        <f>IFERROR(F483/IF(OR(E483="kg",E483="l"),D483*1000,D483),"")</f>
      </c>
      <c r="K483" s="5"/>
    </row>
    <row r="484" spans="1:11" x14ac:dyDescent="0.25">
      <c r="A484" s="7"/>
      <c r="B484" s="7"/>
      <c r="C484" s="7"/>
      <c r="D484" s="7"/>
      <c r="E484" s="7"/>
      <c r="F484" s="7"/>
      <c r="G484" s="7"/>
      <c r="H484" s="5"/>
      <c r="I484" s="8">
        <f>IF(E484="","",IF(OR(E484="kg",E484="g"),"g",IF(OR(E484="l",E484="ml"),"ml",IF(E484="un","un",""))))</f>
      </c>
      <c r="J484" s="9">
        <f>IFERROR(F484/IF(OR(E484="kg",E484="l"),D484*1000,D484),"")</f>
      </c>
      <c r="K484" s="5"/>
    </row>
    <row r="485" spans="1:11" x14ac:dyDescent="0.25">
      <c r="A485" s="7"/>
      <c r="B485" s="7"/>
      <c r="C485" s="7"/>
      <c r="D485" s="7"/>
      <c r="E485" s="7"/>
      <c r="F485" s="7"/>
      <c r="G485" s="7"/>
      <c r="H485" s="5"/>
      <c r="I485" s="8">
        <f>IF(E485="","",IF(OR(E485="kg",E485="g"),"g",IF(OR(E485="l",E485="ml"),"ml",IF(E485="un","un",""))))</f>
      </c>
      <c r="J485" s="9">
        <f>IFERROR(F485/IF(OR(E485="kg",E485="l"),D485*1000,D485),"")</f>
      </c>
      <c r="K485" s="5"/>
    </row>
    <row r="486" spans="1:11" x14ac:dyDescent="0.25">
      <c r="A486" s="7"/>
      <c r="B486" s="7"/>
      <c r="C486" s="7"/>
      <c r="D486" s="7"/>
      <c r="E486" s="7"/>
      <c r="F486" s="7"/>
      <c r="G486" s="7"/>
      <c r="H486" s="5"/>
      <c r="I486" s="8">
        <f>IF(E486="","",IF(OR(E486="kg",E486="g"),"g",IF(OR(E486="l",E486="ml"),"ml",IF(E486="un","un",""))))</f>
      </c>
      <c r="J486" s="9">
        <f>IFERROR(F486/IF(OR(E486="kg",E486="l"),D486*1000,D486),"")</f>
      </c>
      <c r="K486" s="5"/>
    </row>
    <row r="487" spans="1:11" x14ac:dyDescent="0.25">
      <c r="A487" s="7"/>
      <c r="B487" s="7"/>
      <c r="C487" s="7"/>
      <c r="D487" s="7"/>
      <c r="E487" s="7"/>
      <c r="F487" s="7"/>
      <c r="G487" s="7"/>
      <c r="H487" s="5"/>
      <c r="I487" s="8">
        <f>IF(E487="","",IF(OR(E487="kg",E487="g"),"g",IF(OR(E487="l",E487="ml"),"ml",IF(E487="un","un",""))))</f>
      </c>
      <c r="J487" s="9">
        <f>IFERROR(F487/IF(OR(E487="kg",E487="l"),D487*1000,D487),"")</f>
      </c>
      <c r="K487" s="5"/>
    </row>
    <row r="488" spans="1:11" x14ac:dyDescent="0.25">
      <c r="A488" s="7"/>
      <c r="B488" s="7"/>
      <c r="C488" s="7"/>
      <c r="D488" s="7"/>
      <c r="E488" s="7"/>
      <c r="F488" s="7"/>
      <c r="G488" s="7"/>
      <c r="H488" s="5"/>
      <c r="I488" s="8">
        <f>IF(E488="","",IF(OR(E488="kg",E488="g"),"g",IF(OR(E488="l",E488="ml"),"ml",IF(E488="un","un",""))))</f>
      </c>
      <c r="J488" s="9">
        <f>IFERROR(F488/IF(OR(E488="kg",E488="l"),D488*1000,D488),"")</f>
      </c>
      <c r="K488" s="5"/>
    </row>
    <row r="489" spans="1:11" x14ac:dyDescent="0.25">
      <c r="A489" s="7"/>
      <c r="B489" s="7"/>
      <c r="C489" s="7"/>
      <c r="D489" s="7"/>
      <c r="E489" s="7"/>
      <c r="F489" s="7"/>
      <c r="G489" s="7"/>
      <c r="H489" s="5"/>
      <c r="I489" s="8">
        <f>IF(E489="","",IF(OR(E489="kg",E489="g"),"g",IF(OR(E489="l",E489="ml"),"ml",IF(E489="un","un",""))))</f>
      </c>
      <c r="J489" s="9">
        <f>IFERROR(F489/IF(OR(E489="kg",E489="l"),D489*1000,D489),"")</f>
      </c>
      <c r="K489" s="5"/>
    </row>
    <row r="490" spans="1:11" x14ac:dyDescent="0.25">
      <c r="A490" s="7"/>
      <c r="B490" s="7"/>
      <c r="C490" s="7"/>
      <c r="D490" s="7"/>
      <c r="E490" s="7"/>
      <c r="F490" s="7"/>
      <c r="G490" s="7"/>
      <c r="H490" s="5"/>
      <c r="I490" s="8">
        <f>IF(E490="","",IF(OR(E490="kg",E490="g"),"g",IF(OR(E490="l",E490="ml"),"ml",IF(E490="un","un",""))))</f>
      </c>
      <c r="J490" s="9">
        <f>IFERROR(F490/IF(OR(E490="kg",E490="l"),D490*1000,D490),"")</f>
      </c>
      <c r="K490" s="5"/>
    </row>
    <row r="491" spans="1:11" x14ac:dyDescent="0.25">
      <c r="A491" s="7"/>
      <c r="B491" s="7"/>
      <c r="C491" s="7"/>
      <c r="D491" s="7"/>
      <c r="E491" s="7"/>
      <c r="F491" s="7"/>
      <c r="G491" s="7"/>
      <c r="H491" s="5"/>
      <c r="I491" s="8">
        <f>IF(E491="","",IF(OR(E491="kg",E491="g"),"g",IF(OR(E491="l",E491="ml"),"ml",IF(E491="un","un",""))))</f>
      </c>
      <c r="J491" s="9">
        <f>IFERROR(F491/IF(OR(E491="kg",E491="l"),D491*1000,D491),"")</f>
      </c>
      <c r="K491" s="5"/>
    </row>
    <row r="492" spans="1:11" x14ac:dyDescent="0.25">
      <c r="A492" s="7"/>
      <c r="B492" s="7"/>
      <c r="C492" s="7"/>
      <c r="D492" s="7"/>
      <c r="E492" s="7"/>
      <c r="F492" s="7"/>
      <c r="G492" s="7"/>
      <c r="H492" s="5"/>
      <c r="I492" s="8">
        <f>IF(E492="","",IF(OR(E492="kg",E492="g"),"g",IF(OR(E492="l",E492="ml"),"ml",IF(E492="un","un",""))))</f>
      </c>
      <c r="J492" s="9">
        <f>IFERROR(F492/IF(OR(E492="kg",E492="l"),D492*1000,D492),"")</f>
      </c>
      <c r="K492" s="5"/>
    </row>
    <row r="493" spans="1:11" x14ac:dyDescent="0.25">
      <c r="A493" s="7"/>
      <c r="B493" s="7"/>
      <c r="C493" s="7"/>
      <c r="D493" s="7"/>
      <c r="E493" s="7"/>
      <c r="F493" s="7"/>
      <c r="G493" s="7"/>
      <c r="H493" s="5"/>
      <c r="I493" s="8">
        <f>IF(E493="","",IF(OR(E493="kg",E493="g"),"g",IF(OR(E493="l",E493="ml"),"ml",IF(E493="un","un",""))))</f>
      </c>
      <c r="J493" s="9">
        <f>IFERROR(F493/IF(OR(E493="kg",E493="l"),D493*1000,D493),"")</f>
      </c>
      <c r="K493" s="5"/>
    </row>
    <row r="494" spans="1:11" x14ac:dyDescent="0.25">
      <c r="A494" s="7"/>
      <c r="B494" s="7"/>
      <c r="C494" s="7"/>
      <c r="D494" s="7"/>
      <c r="E494" s="7"/>
      <c r="F494" s="7"/>
      <c r="G494" s="7"/>
      <c r="H494" s="5"/>
      <c r="I494" s="8">
        <f>IF(E494="","",IF(OR(E494="kg",E494="g"),"g",IF(OR(E494="l",E494="ml"),"ml",IF(E494="un","un",""))))</f>
      </c>
      <c r="J494" s="9">
        <f>IFERROR(F494/IF(OR(E494="kg",E494="l"),D494*1000,D494),"")</f>
      </c>
      <c r="K494" s="5"/>
    </row>
    <row r="495" spans="1:11" x14ac:dyDescent="0.25">
      <c r="A495" s="7"/>
      <c r="B495" s="7"/>
      <c r="C495" s="7"/>
      <c r="D495" s="7"/>
      <c r="E495" s="7"/>
      <c r="F495" s="7"/>
      <c r="G495" s="7"/>
      <c r="H495" s="5"/>
      <c r="I495" s="8">
        <f>IF(E495="","",IF(OR(E495="kg",E495="g"),"g",IF(OR(E495="l",E495="ml"),"ml",IF(E495="un","un",""))))</f>
      </c>
      <c r="J495" s="9">
        <f>IFERROR(F495/IF(OR(E495="kg",E495="l"),D495*1000,D495),"")</f>
      </c>
      <c r="K495" s="5"/>
    </row>
    <row r="496" spans="1:11" x14ac:dyDescent="0.25">
      <c r="A496" s="7"/>
      <c r="B496" s="7"/>
      <c r="C496" s="7"/>
      <c r="D496" s="7"/>
      <c r="E496" s="7"/>
      <c r="F496" s="7"/>
      <c r="G496" s="7"/>
      <c r="H496" s="5"/>
      <c r="I496" s="8">
        <f>IF(E496="","",IF(OR(E496="kg",E496="g"),"g",IF(OR(E496="l",E496="ml"),"ml",IF(E496="un","un",""))))</f>
      </c>
      <c r="J496" s="9">
        <f>IFERROR(F496/IF(OR(E496="kg",E496="l"),D496*1000,D496),"")</f>
      </c>
      <c r="K496" s="5"/>
    </row>
    <row r="497" spans="1:11" x14ac:dyDescent="0.25">
      <c r="A497" s="7"/>
      <c r="B497" s="7"/>
      <c r="C497" s="7"/>
      <c r="D497" s="7"/>
      <c r="E497" s="7"/>
      <c r="F497" s="7"/>
      <c r="G497" s="7"/>
      <c r="H497" s="5"/>
      <c r="I497" s="8">
        <f>IF(E497="","",IF(OR(E497="kg",E497="g"),"g",IF(OR(E497="l",E497="ml"),"ml",IF(E497="un","un",""))))</f>
      </c>
      <c r="J497" s="9">
        <f>IFERROR(F497/IF(OR(E497="kg",E497="l"),D497*1000,D497),"")</f>
      </c>
      <c r="K497" s="5"/>
    </row>
    <row r="498" spans="1:11" x14ac:dyDescent="0.25">
      <c r="A498" s="7"/>
      <c r="B498" s="7"/>
      <c r="C498" s="7"/>
      <c r="D498" s="7"/>
      <c r="E498" s="7"/>
      <c r="F498" s="7"/>
      <c r="G498" s="7"/>
      <c r="H498" s="5"/>
      <c r="I498" s="8">
        <f>IF(E498="","",IF(OR(E498="kg",E498="g"),"g",IF(OR(E498="l",E498="ml"),"ml",IF(E498="un","un",""))))</f>
      </c>
      <c r="J498" s="9">
        <f>IFERROR(F498/IF(OR(E498="kg",E498="l"),D498*1000,D498),"")</f>
      </c>
      <c r="K498" s="5"/>
    </row>
    <row r="499" spans="1:11" x14ac:dyDescent="0.25">
      <c r="A499" s="7"/>
      <c r="B499" s="7"/>
      <c r="C499" s="7"/>
      <c r="D499" s="7"/>
      <c r="E499" s="7"/>
      <c r="F499" s="7"/>
      <c r="G499" s="7"/>
      <c r="H499" s="5"/>
      <c r="I499" s="8">
        <f>IF(E499="","",IF(OR(E499="kg",E499="g"),"g",IF(OR(E499="l",E499="ml"),"ml",IF(E499="un","un",""))))</f>
      </c>
      <c r="J499" s="9">
        <f>IFERROR(F499/IF(OR(E499="kg",E499="l"),D499*1000,D499),"")</f>
      </c>
      <c r="K499" s="5"/>
    </row>
    <row r="500" spans="1:11" x14ac:dyDescent="0.25">
      <c r="A500" s="7"/>
      <c r="B500" s="7"/>
      <c r="C500" s="7"/>
      <c r="D500" s="7"/>
      <c r="E500" s="7"/>
      <c r="F500" s="7"/>
      <c r="G500" s="7"/>
      <c r="H500" s="5"/>
      <c r="I500" s="8">
        <f>IF(E500="","",IF(OR(E500="kg",E500="g"),"g",IF(OR(E500="l",E500="ml"),"ml",IF(E500="un","un",""))))</f>
      </c>
      <c r="J500" s="9">
        <f>IFERROR(F500/IF(OR(E500="kg",E500="l"),D500*1000,D500),"")</f>
      </c>
      <c r="K500" s="5"/>
    </row>
  </sheetData>
  <conditionalFormatting sqref="F2:F500">
    <cfRule type="cellIs" dxfId="0" priority="1" operator="lessThanOrEqual">
      <formula>0</formula>
    </cfRule>
  </conditionalFormatting>
  <dataValidations count="6">
    <dataValidation type="list" allowBlank="1" sqref="B10:B500">
      <formula1>=_Categorias!$B$2:$B$500</formula1>
    </dataValidation>
    <dataValidation type="list" allowBlank="1" sqref="B2:B500">
      <formula1>=_Categorias!$B$2:$B$500</formula1>
    </dataValidation>
    <dataValidation type="list" allowBlank="1" sqref="C10:C500">
      <formula1>"insumo_base,insumo_direto,embalagem"</formula1>
    </dataValidation>
    <dataValidation type="list" allowBlank="1" sqref="C2:C500">
      <formula1>"insumo_base,insumo_direto,embalagem"</formula1>
    </dataValidation>
    <dataValidation type="list" allowBlank="1" sqref="E10:E500">
      <formula1>"kg,g,l,ml,un"</formula1>
    </dataValidation>
    <dataValidation type="list" allowBlank="1" sqref="E2:E500">
      <formula1>"kg,g,l,ml,un"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16" customWidth="1"/>
    <col min="4" max="5" width="18" customWidth="1"/>
    <col min="6" max="6" width="16" customWidth="1"/>
    <col min="7" max="7" width="50" customWidth="1"/>
  </cols>
  <sheetData>
    <row r="1" ht="32" customHeight="1" spans="1:7" x14ac:dyDescent="0.25">
      <c r="A1" s="6" t="s">
        <v>111</v>
      </c>
      <c r="B1" s="6" t="s">
        <v>74</v>
      </c>
      <c r="C1" s="6" t="s">
        <v>156</v>
      </c>
      <c r="D1" s="6" t="s">
        <v>157</v>
      </c>
      <c r="E1" s="6" t="s">
        <v>158</v>
      </c>
      <c r="F1" s="6" t="s">
        <v>119</v>
      </c>
      <c r="G1" s="6" t="s">
        <v>159</v>
      </c>
    </row>
    <row r="2" spans="1:7" x14ac:dyDescent="0.25">
      <c r="A2" s="7" t="s">
        <v>160</v>
      </c>
      <c r="B2" s="7" t="s">
        <v>94</v>
      </c>
      <c r="C2" s="7">
        <v>2400</v>
      </c>
      <c r="D2" s="7" t="s">
        <v>123</v>
      </c>
      <c r="E2" s="10">
        <f>IFERROR(SUMIFS(Composicao_Preparos!H:H,Composicao_Preparos!A:A,A2),0)</f>
      </c>
      <c r="F2" s="9">
        <f>IF(C2&gt;0,IFERROR(E2/C2,""),"")</f>
      </c>
      <c r="G2" s="5" t="s">
        <v>161</v>
      </c>
    </row>
    <row r="3" spans="1:7" x14ac:dyDescent="0.25">
      <c r="A3" s="7" t="s">
        <v>162</v>
      </c>
      <c r="B3" s="7" t="s">
        <v>94</v>
      </c>
      <c r="C3" s="7">
        <v>3500</v>
      </c>
      <c r="D3" s="7" t="s">
        <v>123</v>
      </c>
      <c r="E3" s="10">
        <f>IFERROR(SUMIFS(Composicao_Preparos!H:H,Composicao_Preparos!A:A,A3),0)</f>
      </c>
      <c r="F3" s="9">
        <f>IF(C3&gt;0,IFERROR(E3/C3,""),"")</f>
      </c>
      <c r="G3" s="5" t="s">
        <v>163</v>
      </c>
    </row>
    <row r="4" spans="1:7" x14ac:dyDescent="0.25">
      <c r="A4" s="7" t="s">
        <v>164</v>
      </c>
      <c r="B4" s="7" t="s">
        <v>98</v>
      </c>
      <c r="C4" s="7">
        <v>1</v>
      </c>
      <c r="D4" s="7" t="s">
        <v>141</v>
      </c>
      <c r="E4" s="10">
        <f>IFERROR(SUMIFS(Composicao_Preparos!H:H,Composicao_Preparos!A:A,A4),0)</f>
      </c>
      <c r="F4" s="9">
        <f>IF(C4&gt;0,IFERROR(E4/C4,""),"")</f>
      </c>
      <c r="G4" s="5" t="s">
        <v>165</v>
      </c>
    </row>
    <row r="5" spans="1:7" x14ac:dyDescent="0.25">
      <c r="A5" s="7" t="s">
        <v>166</v>
      </c>
      <c r="B5" s="7" t="s">
        <v>96</v>
      </c>
      <c r="C5" s="7">
        <v>1000</v>
      </c>
      <c r="D5" s="7" t="s">
        <v>123</v>
      </c>
      <c r="E5" s="10">
        <f>IFERROR(SUMIFS(Composicao_Preparos!H:H,Composicao_Preparos!A:A,A5),0)</f>
      </c>
      <c r="F5" s="9">
        <f>IF(C5&gt;0,IFERROR(E5/C5,""),"")</f>
      </c>
      <c r="G5" s="5" t="s">
        <v>167</v>
      </c>
    </row>
    <row r="6" spans="1:7" x14ac:dyDescent="0.25">
      <c r="A6" s="7"/>
      <c r="B6" s="7"/>
      <c r="C6" s="7"/>
      <c r="D6" s="7"/>
      <c r="E6" s="10">
        <f>IFERROR(SUMIFS(Composicao_Preparos!H:H,Composicao_Preparos!A:A,A6),0)</f>
      </c>
      <c r="F6" s="9">
        <f>IF(C6&gt;0,IFERROR(E6/C6,""),"")</f>
      </c>
      <c r="G6" s="5"/>
    </row>
    <row r="7" spans="1:7" x14ac:dyDescent="0.25">
      <c r="A7" s="7"/>
      <c r="B7" s="7"/>
      <c r="C7" s="7"/>
      <c r="D7" s="7"/>
      <c r="E7" s="10">
        <f>IFERROR(SUMIFS(Composicao_Preparos!H:H,Composicao_Preparos!A:A,A7),0)</f>
      </c>
      <c r="F7" s="9">
        <f>IF(C7&gt;0,IFERROR(E7/C7,""),"")</f>
      </c>
      <c r="G7" s="5"/>
    </row>
    <row r="8" spans="1:7" x14ac:dyDescent="0.25">
      <c r="A8" s="7"/>
      <c r="B8" s="7"/>
      <c r="C8" s="7"/>
      <c r="D8" s="7"/>
      <c r="E8" s="10">
        <f>IFERROR(SUMIFS(Composicao_Preparos!H:H,Composicao_Preparos!A:A,A8),0)</f>
      </c>
      <c r="F8" s="9">
        <f>IF(C8&gt;0,IFERROR(E8/C8,""),"")</f>
      </c>
      <c r="G8" s="5"/>
    </row>
    <row r="9" spans="1:7" x14ac:dyDescent="0.25">
      <c r="A9" s="7"/>
      <c r="B9" s="7"/>
      <c r="C9" s="7"/>
      <c r="D9" s="7"/>
      <c r="E9" s="10">
        <f>IFERROR(SUMIFS(Composicao_Preparos!H:H,Composicao_Preparos!A:A,A9),0)</f>
      </c>
      <c r="F9" s="9">
        <f>IF(C9&gt;0,IFERROR(E9/C9,""),"")</f>
      </c>
      <c r="G9" s="5"/>
    </row>
    <row r="10" spans="1:7" x14ac:dyDescent="0.25">
      <c r="A10" s="7"/>
      <c r="B10" s="7"/>
      <c r="C10" s="7"/>
      <c r="D10" s="7"/>
      <c r="E10" s="10">
        <f>IFERROR(SUMIFS(Composicao_Preparos!H:H,Composicao_Preparos!A:A,A10),0)</f>
      </c>
      <c r="F10" s="9">
        <f>IF(C10&gt;0,IFERROR(E10/C10,""),"")</f>
      </c>
      <c r="G10" s="5"/>
    </row>
    <row r="11" spans="1:7" x14ac:dyDescent="0.25">
      <c r="A11" s="7"/>
      <c r="B11" s="7"/>
      <c r="C11" s="7"/>
      <c r="D11" s="7"/>
      <c r="E11" s="10">
        <f>IFERROR(SUMIFS(Composicao_Preparos!H:H,Composicao_Preparos!A:A,A11),0)</f>
      </c>
      <c r="F11" s="9">
        <f>IF(C11&gt;0,IFERROR(E11/C11,""),"")</f>
      </c>
      <c r="G11" s="5"/>
    </row>
    <row r="12" spans="1:7" x14ac:dyDescent="0.25">
      <c r="A12" s="7"/>
      <c r="B12" s="7"/>
      <c r="C12" s="7"/>
      <c r="D12" s="7"/>
      <c r="E12" s="10">
        <f>IFERROR(SUMIFS(Composicao_Preparos!H:H,Composicao_Preparos!A:A,A12),0)</f>
      </c>
      <c r="F12" s="9">
        <f>IF(C12&gt;0,IFERROR(E12/C12,""),"")</f>
      </c>
      <c r="G12" s="5"/>
    </row>
    <row r="13" spans="1:7" x14ac:dyDescent="0.25">
      <c r="A13" s="7"/>
      <c r="B13" s="7"/>
      <c r="C13" s="7"/>
      <c r="D13" s="7"/>
      <c r="E13" s="10">
        <f>IFERROR(SUMIFS(Composicao_Preparos!H:H,Composicao_Preparos!A:A,A13),0)</f>
      </c>
      <c r="F13" s="9">
        <f>IF(C13&gt;0,IFERROR(E13/C13,""),"")</f>
      </c>
      <c r="G13" s="5"/>
    </row>
    <row r="14" spans="1:7" x14ac:dyDescent="0.25">
      <c r="A14" s="7"/>
      <c r="B14" s="7"/>
      <c r="C14" s="7"/>
      <c r="D14" s="7"/>
      <c r="E14" s="10">
        <f>IFERROR(SUMIFS(Composicao_Preparos!H:H,Composicao_Preparos!A:A,A14),0)</f>
      </c>
      <c r="F14" s="9">
        <f>IF(C14&gt;0,IFERROR(E14/C14,""),"")</f>
      </c>
      <c r="G14" s="5"/>
    </row>
    <row r="15" spans="1:7" x14ac:dyDescent="0.25">
      <c r="A15" s="7"/>
      <c r="B15" s="7"/>
      <c r="C15" s="7"/>
      <c r="D15" s="7"/>
      <c r="E15" s="10">
        <f>IFERROR(SUMIFS(Composicao_Preparos!H:H,Composicao_Preparos!A:A,A15),0)</f>
      </c>
      <c r="F15" s="9">
        <f>IF(C15&gt;0,IFERROR(E15/C15,""),"")</f>
      </c>
      <c r="G15" s="5"/>
    </row>
    <row r="16" spans="1:7" x14ac:dyDescent="0.25">
      <c r="A16" s="7"/>
      <c r="B16" s="7"/>
      <c r="C16" s="7"/>
      <c r="D16" s="7"/>
      <c r="E16" s="10">
        <f>IFERROR(SUMIFS(Composicao_Preparos!H:H,Composicao_Preparos!A:A,A16),0)</f>
      </c>
      <c r="F16" s="9">
        <f>IF(C16&gt;0,IFERROR(E16/C16,""),"")</f>
      </c>
      <c r="G16" s="5"/>
    </row>
    <row r="17" spans="1:7" x14ac:dyDescent="0.25">
      <c r="A17" s="7"/>
      <c r="B17" s="7"/>
      <c r="C17" s="7"/>
      <c r="D17" s="7"/>
      <c r="E17" s="10">
        <f>IFERROR(SUMIFS(Composicao_Preparos!H:H,Composicao_Preparos!A:A,A17),0)</f>
      </c>
      <c r="F17" s="9">
        <f>IF(C17&gt;0,IFERROR(E17/C17,""),"")</f>
      </c>
      <c r="G17" s="5"/>
    </row>
    <row r="18" spans="1:7" x14ac:dyDescent="0.25">
      <c r="A18" s="7"/>
      <c r="B18" s="7"/>
      <c r="C18" s="7"/>
      <c r="D18" s="7"/>
      <c r="E18" s="10">
        <f>IFERROR(SUMIFS(Composicao_Preparos!H:H,Composicao_Preparos!A:A,A18),0)</f>
      </c>
      <c r="F18" s="9">
        <f>IF(C18&gt;0,IFERROR(E18/C18,""),"")</f>
      </c>
      <c r="G18" s="5"/>
    </row>
    <row r="19" spans="1:7" x14ac:dyDescent="0.25">
      <c r="A19" s="7"/>
      <c r="B19" s="7"/>
      <c r="C19" s="7"/>
      <c r="D19" s="7"/>
      <c r="E19" s="10">
        <f>IFERROR(SUMIFS(Composicao_Preparos!H:H,Composicao_Preparos!A:A,A19),0)</f>
      </c>
      <c r="F19" s="9">
        <f>IF(C19&gt;0,IFERROR(E19/C19,""),"")</f>
      </c>
      <c r="G19" s="5"/>
    </row>
    <row r="20" spans="1:7" x14ac:dyDescent="0.25">
      <c r="A20" s="7"/>
      <c r="B20" s="7"/>
      <c r="C20" s="7"/>
      <c r="D20" s="7"/>
      <c r="E20" s="10">
        <f>IFERROR(SUMIFS(Composicao_Preparos!H:H,Composicao_Preparos!A:A,A20),0)</f>
      </c>
      <c r="F20" s="9">
        <f>IF(C20&gt;0,IFERROR(E20/C20,""),"")</f>
      </c>
      <c r="G20" s="5"/>
    </row>
    <row r="21" spans="1:7" x14ac:dyDescent="0.25">
      <c r="A21" s="7"/>
      <c r="B21" s="7"/>
      <c r="C21" s="7"/>
      <c r="D21" s="7"/>
      <c r="E21" s="10">
        <f>IFERROR(SUMIFS(Composicao_Preparos!H:H,Composicao_Preparos!A:A,A21),0)</f>
      </c>
      <c r="F21" s="9">
        <f>IF(C21&gt;0,IFERROR(E21/C21,""),"")</f>
      </c>
      <c r="G21" s="5"/>
    </row>
    <row r="22" spans="1:7" x14ac:dyDescent="0.25">
      <c r="A22" s="7"/>
      <c r="B22" s="7"/>
      <c r="C22" s="7"/>
      <c r="D22" s="7"/>
      <c r="E22" s="10">
        <f>IFERROR(SUMIFS(Composicao_Preparos!H:H,Composicao_Preparos!A:A,A22),0)</f>
      </c>
      <c r="F22" s="9">
        <f>IF(C22&gt;0,IFERROR(E22/C22,""),"")</f>
      </c>
      <c r="G22" s="5"/>
    </row>
    <row r="23" spans="1:7" x14ac:dyDescent="0.25">
      <c r="A23" s="7"/>
      <c r="B23" s="7"/>
      <c r="C23" s="7"/>
      <c r="D23" s="7"/>
      <c r="E23" s="10">
        <f>IFERROR(SUMIFS(Composicao_Preparos!H:H,Composicao_Preparos!A:A,A23),0)</f>
      </c>
      <c r="F23" s="9">
        <f>IF(C23&gt;0,IFERROR(E23/C23,""),"")</f>
      </c>
      <c r="G23" s="5"/>
    </row>
    <row r="24" spans="1:7" x14ac:dyDescent="0.25">
      <c r="A24" s="7"/>
      <c r="B24" s="7"/>
      <c r="C24" s="7"/>
      <c r="D24" s="7"/>
      <c r="E24" s="10">
        <f>IFERROR(SUMIFS(Composicao_Preparos!H:H,Composicao_Preparos!A:A,A24),0)</f>
      </c>
      <c r="F24" s="9">
        <f>IF(C24&gt;0,IFERROR(E24/C24,""),"")</f>
      </c>
      <c r="G24" s="5"/>
    </row>
    <row r="25" spans="1:7" x14ac:dyDescent="0.25">
      <c r="A25" s="7"/>
      <c r="B25" s="7"/>
      <c r="C25" s="7"/>
      <c r="D25" s="7"/>
      <c r="E25" s="10">
        <f>IFERROR(SUMIFS(Composicao_Preparos!H:H,Composicao_Preparos!A:A,A25),0)</f>
      </c>
      <c r="F25" s="9">
        <f>IF(C25&gt;0,IFERROR(E25/C25,""),"")</f>
      </c>
      <c r="G25" s="5"/>
    </row>
    <row r="26" spans="1:7" x14ac:dyDescent="0.25">
      <c r="A26" s="7"/>
      <c r="B26" s="7"/>
      <c r="C26" s="7"/>
      <c r="D26" s="7"/>
      <c r="E26" s="10">
        <f>IFERROR(SUMIFS(Composicao_Preparos!H:H,Composicao_Preparos!A:A,A26),0)</f>
      </c>
      <c r="F26" s="9">
        <f>IF(C26&gt;0,IFERROR(E26/C26,""),"")</f>
      </c>
      <c r="G26" s="5"/>
    </row>
    <row r="27" spans="1:7" x14ac:dyDescent="0.25">
      <c r="A27" s="7"/>
      <c r="B27" s="7"/>
      <c r="C27" s="7"/>
      <c r="D27" s="7"/>
      <c r="E27" s="10">
        <f>IFERROR(SUMIFS(Composicao_Preparos!H:H,Composicao_Preparos!A:A,A27),0)</f>
      </c>
      <c r="F27" s="9">
        <f>IF(C27&gt;0,IFERROR(E27/C27,""),"")</f>
      </c>
      <c r="G27" s="5"/>
    </row>
    <row r="28" spans="1:7" x14ac:dyDescent="0.25">
      <c r="A28" s="7"/>
      <c r="B28" s="7"/>
      <c r="C28" s="7"/>
      <c r="D28" s="7"/>
      <c r="E28" s="10">
        <f>IFERROR(SUMIFS(Composicao_Preparos!H:H,Composicao_Preparos!A:A,A28),0)</f>
      </c>
      <c r="F28" s="9">
        <f>IF(C28&gt;0,IFERROR(E28/C28,""),"")</f>
      </c>
      <c r="G28" s="5"/>
    </row>
    <row r="29" spans="1:7" x14ac:dyDescent="0.25">
      <c r="A29" s="7"/>
      <c r="B29" s="7"/>
      <c r="C29" s="7"/>
      <c r="D29" s="7"/>
      <c r="E29" s="10">
        <f>IFERROR(SUMIFS(Composicao_Preparos!H:H,Composicao_Preparos!A:A,A29),0)</f>
      </c>
      <c r="F29" s="9">
        <f>IF(C29&gt;0,IFERROR(E29/C29,""),"")</f>
      </c>
      <c r="G29" s="5"/>
    </row>
    <row r="30" spans="1:7" x14ac:dyDescent="0.25">
      <c r="A30" s="7"/>
      <c r="B30" s="7"/>
      <c r="C30" s="7"/>
      <c r="D30" s="7"/>
      <c r="E30" s="10">
        <f>IFERROR(SUMIFS(Composicao_Preparos!H:H,Composicao_Preparos!A:A,A30),0)</f>
      </c>
      <c r="F30" s="9">
        <f>IF(C30&gt;0,IFERROR(E30/C30,""),"")</f>
      </c>
      <c r="G30" s="5"/>
    </row>
    <row r="31" spans="1:7" x14ac:dyDescent="0.25">
      <c r="A31" s="7"/>
      <c r="B31" s="7"/>
      <c r="C31" s="7"/>
      <c r="D31" s="7"/>
      <c r="E31" s="10">
        <f>IFERROR(SUMIFS(Composicao_Preparos!H:H,Composicao_Preparos!A:A,A31),0)</f>
      </c>
      <c r="F31" s="9">
        <f>IF(C31&gt;0,IFERROR(E31/C31,""),"")</f>
      </c>
      <c r="G31" s="5"/>
    </row>
    <row r="32" spans="1:7" x14ac:dyDescent="0.25">
      <c r="A32" s="7"/>
      <c r="B32" s="7"/>
      <c r="C32" s="7"/>
      <c r="D32" s="7"/>
      <c r="E32" s="10">
        <f>IFERROR(SUMIFS(Composicao_Preparos!H:H,Composicao_Preparos!A:A,A32),0)</f>
      </c>
      <c r="F32" s="9">
        <f>IF(C32&gt;0,IFERROR(E32/C32,""),"")</f>
      </c>
      <c r="G32" s="5"/>
    </row>
    <row r="33" spans="1:7" x14ac:dyDescent="0.25">
      <c r="A33" s="7"/>
      <c r="B33" s="7"/>
      <c r="C33" s="7"/>
      <c r="D33" s="7"/>
      <c r="E33" s="10">
        <f>IFERROR(SUMIFS(Composicao_Preparos!H:H,Composicao_Preparos!A:A,A33),0)</f>
      </c>
      <c r="F33" s="9">
        <f>IF(C33&gt;0,IFERROR(E33/C33,""),"")</f>
      </c>
      <c r="G33" s="5"/>
    </row>
    <row r="34" spans="1:7" x14ac:dyDescent="0.25">
      <c r="A34" s="7"/>
      <c r="B34" s="7"/>
      <c r="C34" s="7"/>
      <c r="D34" s="7"/>
      <c r="E34" s="10">
        <f>IFERROR(SUMIFS(Composicao_Preparos!H:H,Composicao_Preparos!A:A,A34),0)</f>
      </c>
      <c r="F34" s="9">
        <f>IF(C34&gt;0,IFERROR(E34/C34,""),"")</f>
      </c>
      <c r="G34" s="5"/>
    </row>
    <row r="35" spans="1:7" x14ac:dyDescent="0.25">
      <c r="A35" s="7"/>
      <c r="B35" s="7"/>
      <c r="C35" s="7"/>
      <c r="D35" s="7"/>
      <c r="E35" s="10">
        <f>IFERROR(SUMIFS(Composicao_Preparos!H:H,Composicao_Preparos!A:A,A35),0)</f>
      </c>
      <c r="F35" s="9">
        <f>IF(C35&gt;0,IFERROR(E35/C35,""),"")</f>
      </c>
      <c r="G35" s="5"/>
    </row>
    <row r="36" spans="1:7" x14ac:dyDescent="0.25">
      <c r="A36" s="7"/>
      <c r="B36" s="7"/>
      <c r="C36" s="7"/>
      <c r="D36" s="7"/>
      <c r="E36" s="10">
        <f>IFERROR(SUMIFS(Composicao_Preparos!H:H,Composicao_Preparos!A:A,A36),0)</f>
      </c>
      <c r="F36" s="9">
        <f>IF(C36&gt;0,IFERROR(E36/C36,""),"")</f>
      </c>
      <c r="G36" s="5"/>
    </row>
    <row r="37" spans="1:7" x14ac:dyDescent="0.25">
      <c r="A37" s="7"/>
      <c r="B37" s="7"/>
      <c r="C37" s="7"/>
      <c r="D37" s="7"/>
      <c r="E37" s="10">
        <f>IFERROR(SUMIFS(Composicao_Preparos!H:H,Composicao_Preparos!A:A,A37),0)</f>
      </c>
      <c r="F37" s="9">
        <f>IF(C37&gt;0,IFERROR(E37/C37,""),"")</f>
      </c>
      <c r="G37" s="5"/>
    </row>
    <row r="38" spans="1:7" x14ac:dyDescent="0.25">
      <c r="A38" s="7"/>
      <c r="B38" s="7"/>
      <c r="C38" s="7"/>
      <c r="D38" s="7"/>
      <c r="E38" s="10">
        <f>IFERROR(SUMIFS(Composicao_Preparos!H:H,Composicao_Preparos!A:A,A38),0)</f>
      </c>
      <c r="F38" s="9">
        <f>IF(C38&gt;0,IFERROR(E38/C38,""),"")</f>
      </c>
      <c r="G38" s="5"/>
    </row>
    <row r="39" spans="1:7" x14ac:dyDescent="0.25">
      <c r="A39" s="7"/>
      <c r="B39" s="7"/>
      <c r="C39" s="7"/>
      <c r="D39" s="7"/>
      <c r="E39" s="10">
        <f>IFERROR(SUMIFS(Composicao_Preparos!H:H,Composicao_Preparos!A:A,A39),0)</f>
      </c>
      <c r="F39" s="9">
        <f>IF(C39&gt;0,IFERROR(E39/C39,""),"")</f>
      </c>
      <c r="G39" s="5"/>
    </row>
    <row r="40" spans="1:7" x14ac:dyDescent="0.25">
      <c r="A40" s="7"/>
      <c r="B40" s="7"/>
      <c r="C40" s="7"/>
      <c r="D40" s="7"/>
      <c r="E40" s="10">
        <f>IFERROR(SUMIFS(Composicao_Preparos!H:H,Composicao_Preparos!A:A,A40),0)</f>
      </c>
      <c r="F40" s="9">
        <f>IF(C40&gt;0,IFERROR(E40/C40,""),"")</f>
      </c>
      <c r="G40" s="5"/>
    </row>
    <row r="41" spans="1:7" x14ac:dyDescent="0.25">
      <c r="A41" s="7"/>
      <c r="B41" s="7"/>
      <c r="C41" s="7"/>
      <c r="D41" s="7"/>
      <c r="E41" s="10">
        <f>IFERROR(SUMIFS(Composicao_Preparos!H:H,Composicao_Preparos!A:A,A41),0)</f>
      </c>
      <c r="F41" s="9">
        <f>IF(C41&gt;0,IFERROR(E41/C41,""),"")</f>
      </c>
      <c r="G41" s="5"/>
    </row>
    <row r="42" spans="1:7" x14ac:dyDescent="0.25">
      <c r="A42" s="7"/>
      <c r="B42" s="7"/>
      <c r="C42" s="7"/>
      <c r="D42" s="7"/>
      <c r="E42" s="10">
        <f>IFERROR(SUMIFS(Composicao_Preparos!H:H,Composicao_Preparos!A:A,A42),0)</f>
      </c>
      <c r="F42" s="9">
        <f>IF(C42&gt;0,IFERROR(E42/C42,""),"")</f>
      </c>
      <c r="G42" s="5"/>
    </row>
    <row r="43" spans="1:7" x14ac:dyDescent="0.25">
      <c r="A43" s="7"/>
      <c r="B43" s="7"/>
      <c r="C43" s="7"/>
      <c r="D43" s="7"/>
      <c r="E43" s="10">
        <f>IFERROR(SUMIFS(Composicao_Preparos!H:H,Composicao_Preparos!A:A,A43),0)</f>
      </c>
      <c r="F43" s="9">
        <f>IF(C43&gt;0,IFERROR(E43/C43,""),"")</f>
      </c>
      <c r="G43" s="5"/>
    </row>
    <row r="44" spans="1:7" x14ac:dyDescent="0.25">
      <c r="A44" s="7"/>
      <c r="B44" s="7"/>
      <c r="C44" s="7"/>
      <c r="D44" s="7"/>
      <c r="E44" s="10">
        <f>IFERROR(SUMIFS(Composicao_Preparos!H:H,Composicao_Preparos!A:A,A44),0)</f>
      </c>
      <c r="F44" s="9">
        <f>IF(C44&gt;0,IFERROR(E44/C44,""),"")</f>
      </c>
      <c r="G44" s="5"/>
    </row>
    <row r="45" spans="1:7" x14ac:dyDescent="0.25">
      <c r="A45" s="7"/>
      <c r="B45" s="7"/>
      <c r="C45" s="7"/>
      <c r="D45" s="7"/>
      <c r="E45" s="10">
        <f>IFERROR(SUMIFS(Composicao_Preparos!H:H,Composicao_Preparos!A:A,A45),0)</f>
      </c>
      <c r="F45" s="9">
        <f>IF(C45&gt;0,IFERROR(E45/C45,""),"")</f>
      </c>
      <c r="G45" s="5"/>
    </row>
    <row r="46" spans="1:7" x14ac:dyDescent="0.25">
      <c r="A46" s="7"/>
      <c r="B46" s="7"/>
      <c r="C46" s="7"/>
      <c r="D46" s="7"/>
      <c r="E46" s="10">
        <f>IFERROR(SUMIFS(Composicao_Preparos!H:H,Composicao_Preparos!A:A,A46),0)</f>
      </c>
      <c r="F46" s="9">
        <f>IF(C46&gt;0,IFERROR(E46/C46,""),"")</f>
      </c>
      <c r="G46" s="5"/>
    </row>
    <row r="47" spans="1:7" x14ac:dyDescent="0.25">
      <c r="A47" s="7"/>
      <c r="B47" s="7"/>
      <c r="C47" s="7"/>
      <c r="D47" s="7"/>
      <c r="E47" s="10">
        <f>IFERROR(SUMIFS(Composicao_Preparos!H:H,Composicao_Preparos!A:A,A47),0)</f>
      </c>
      <c r="F47" s="9">
        <f>IF(C47&gt;0,IFERROR(E47/C47,""),"")</f>
      </c>
      <c r="G47" s="5"/>
    </row>
    <row r="48" spans="1:7" x14ac:dyDescent="0.25">
      <c r="A48" s="7"/>
      <c r="B48" s="7"/>
      <c r="C48" s="7"/>
      <c r="D48" s="7"/>
      <c r="E48" s="10">
        <f>IFERROR(SUMIFS(Composicao_Preparos!H:H,Composicao_Preparos!A:A,A48),0)</f>
      </c>
      <c r="F48" s="9">
        <f>IF(C48&gt;0,IFERROR(E48/C48,""),"")</f>
      </c>
      <c r="G48" s="5"/>
    </row>
    <row r="49" spans="1:7" x14ac:dyDescent="0.25">
      <c r="A49" s="7"/>
      <c r="B49" s="7"/>
      <c r="C49" s="7"/>
      <c r="D49" s="7"/>
      <c r="E49" s="10">
        <f>IFERROR(SUMIFS(Composicao_Preparos!H:H,Composicao_Preparos!A:A,A49),0)</f>
      </c>
      <c r="F49" s="9">
        <f>IF(C49&gt;0,IFERROR(E49/C49,""),"")</f>
      </c>
      <c r="G49" s="5"/>
    </row>
    <row r="50" spans="1:7" x14ac:dyDescent="0.25">
      <c r="A50" s="7"/>
      <c r="B50" s="7"/>
      <c r="C50" s="7"/>
      <c r="D50" s="7"/>
      <c r="E50" s="10">
        <f>IFERROR(SUMIFS(Composicao_Preparos!H:H,Composicao_Preparos!A:A,A50),0)</f>
      </c>
      <c r="F50" s="9">
        <f>IF(C50&gt;0,IFERROR(E50/C50,""),"")</f>
      </c>
      <c r="G50" s="5"/>
    </row>
    <row r="51" spans="1:7" x14ac:dyDescent="0.25">
      <c r="A51" s="7"/>
      <c r="B51" s="7"/>
      <c r="C51" s="7"/>
      <c r="D51" s="7"/>
      <c r="E51" s="10">
        <f>IFERROR(SUMIFS(Composicao_Preparos!H:H,Composicao_Preparos!A:A,A51),0)</f>
      </c>
      <c r="F51" s="9">
        <f>IF(C51&gt;0,IFERROR(E51/C51,""),"")</f>
      </c>
      <c r="G51" s="5"/>
    </row>
    <row r="52" spans="1:7" x14ac:dyDescent="0.25">
      <c r="A52" s="7"/>
      <c r="B52" s="7"/>
      <c r="C52" s="7"/>
      <c r="D52" s="7"/>
      <c r="E52" s="10">
        <f>IFERROR(SUMIFS(Composicao_Preparos!H:H,Composicao_Preparos!A:A,A52),0)</f>
      </c>
      <c r="F52" s="9">
        <f>IF(C52&gt;0,IFERROR(E52/C52,""),"")</f>
      </c>
      <c r="G52" s="5"/>
    </row>
    <row r="53" spans="1:7" x14ac:dyDescent="0.25">
      <c r="A53" s="7"/>
      <c r="B53" s="7"/>
      <c r="C53" s="7"/>
      <c r="D53" s="7"/>
      <c r="E53" s="10">
        <f>IFERROR(SUMIFS(Composicao_Preparos!H:H,Composicao_Preparos!A:A,A53),0)</f>
      </c>
      <c r="F53" s="9">
        <f>IF(C53&gt;0,IFERROR(E53/C53,""),"")</f>
      </c>
      <c r="G53" s="5"/>
    </row>
    <row r="54" spans="1:7" x14ac:dyDescent="0.25">
      <c r="A54" s="7"/>
      <c r="B54" s="7"/>
      <c r="C54" s="7"/>
      <c r="D54" s="7"/>
      <c r="E54" s="10">
        <f>IFERROR(SUMIFS(Composicao_Preparos!H:H,Composicao_Preparos!A:A,A54),0)</f>
      </c>
      <c r="F54" s="9">
        <f>IF(C54&gt;0,IFERROR(E54/C54,""),"")</f>
      </c>
      <c r="G54" s="5"/>
    </row>
    <row r="55" spans="1:7" x14ac:dyDescent="0.25">
      <c r="A55" s="7"/>
      <c r="B55" s="7"/>
      <c r="C55" s="7"/>
      <c r="D55" s="7"/>
      <c r="E55" s="10">
        <f>IFERROR(SUMIFS(Composicao_Preparos!H:H,Composicao_Preparos!A:A,A55),0)</f>
      </c>
      <c r="F55" s="9">
        <f>IF(C55&gt;0,IFERROR(E55/C55,""),"")</f>
      </c>
      <c r="G55" s="5"/>
    </row>
    <row r="56" spans="1:7" x14ac:dyDescent="0.25">
      <c r="A56" s="7"/>
      <c r="B56" s="7"/>
      <c r="C56" s="7"/>
      <c r="D56" s="7"/>
      <c r="E56" s="10">
        <f>IFERROR(SUMIFS(Composicao_Preparos!H:H,Composicao_Preparos!A:A,A56),0)</f>
      </c>
      <c r="F56" s="9">
        <f>IF(C56&gt;0,IFERROR(E56/C56,""),"")</f>
      </c>
      <c r="G56" s="5"/>
    </row>
    <row r="57" spans="1:7" x14ac:dyDescent="0.25">
      <c r="A57" s="7"/>
      <c r="B57" s="7"/>
      <c r="C57" s="7"/>
      <c r="D57" s="7"/>
      <c r="E57" s="10">
        <f>IFERROR(SUMIFS(Composicao_Preparos!H:H,Composicao_Preparos!A:A,A57),0)</f>
      </c>
      <c r="F57" s="9">
        <f>IF(C57&gt;0,IFERROR(E57/C57,""),"")</f>
      </c>
      <c r="G57" s="5"/>
    </row>
    <row r="58" spans="1:7" x14ac:dyDescent="0.25">
      <c r="A58" s="7"/>
      <c r="B58" s="7"/>
      <c r="C58" s="7"/>
      <c r="D58" s="7"/>
      <c r="E58" s="10">
        <f>IFERROR(SUMIFS(Composicao_Preparos!H:H,Composicao_Preparos!A:A,A58),0)</f>
      </c>
      <c r="F58" s="9">
        <f>IF(C58&gt;0,IFERROR(E58/C58,""),"")</f>
      </c>
      <c r="G58" s="5"/>
    </row>
    <row r="59" spans="1:7" x14ac:dyDescent="0.25">
      <c r="A59" s="7"/>
      <c r="B59" s="7"/>
      <c r="C59" s="7"/>
      <c r="D59" s="7"/>
      <c r="E59" s="10">
        <f>IFERROR(SUMIFS(Composicao_Preparos!H:H,Composicao_Preparos!A:A,A59),0)</f>
      </c>
      <c r="F59" s="9">
        <f>IF(C59&gt;0,IFERROR(E59/C59,""),"")</f>
      </c>
      <c r="G59" s="5"/>
    </row>
    <row r="60" spans="1:7" x14ac:dyDescent="0.25">
      <c r="A60" s="7"/>
      <c r="B60" s="7"/>
      <c r="C60" s="7"/>
      <c r="D60" s="7"/>
      <c r="E60" s="10">
        <f>IFERROR(SUMIFS(Composicao_Preparos!H:H,Composicao_Preparos!A:A,A60),0)</f>
      </c>
      <c r="F60" s="9">
        <f>IF(C60&gt;0,IFERROR(E60/C60,""),"")</f>
      </c>
      <c r="G60" s="5"/>
    </row>
    <row r="61" spans="1:7" x14ac:dyDescent="0.25">
      <c r="A61" s="7"/>
      <c r="B61" s="7"/>
      <c r="C61" s="7"/>
      <c r="D61" s="7"/>
      <c r="E61" s="10">
        <f>IFERROR(SUMIFS(Composicao_Preparos!H:H,Composicao_Preparos!A:A,A61),0)</f>
      </c>
      <c r="F61" s="9">
        <f>IF(C61&gt;0,IFERROR(E61/C61,""),"")</f>
      </c>
      <c r="G61" s="5"/>
    </row>
    <row r="62" spans="1:7" x14ac:dyDescent="0.25">
      <c r="A62" s="7"/>
      <c r="B62" s="7"/>
      <c r="C62" s="7"/>
      <c r="D62" s="7"/>
      <c r="E62" s="10">
        <f>IFERROR(SUMIFS(Composicao_Preparos!H:H,Composicao_Preparos!A:A,A62),0)</f>
      </c>
      <c r="F62" s="9">
        <f>IF(C62&gt;0,IFERROR(E62/C62,""),"")</f>
      </c>
      <c r="G62" s="5"/>
    </row>
    <row r="63" spans="1:7" x14ac:dyDescent="0.25">
      <c r="A63" s="7"/>
      <c r="B63" s="7"/>
      <c r="C63" s="7"/>
      <c r="D63" s="7"/>
      <c r="E63" s="10">
        <f>IFERROR(SUMIFS(Composicao_Preparos!H:H,Composicao_Preparos!A:A,A63),0)</f>
      </c>
      <c r="F63" s="9">
        <f>IF(C63&gt;0,IFERROR(E63/C63,""),"")</f>
      </c>
      <c r="G63" s="5"/>
    </row>
    <row r="64" spans="1:7" x14ac:dyDescent="0.25">
      <c r="A64" s="7"/>
      <c r="B64" s="7"/>
      <c r="C64" s="7"/>
      <c r="D64" s="7"/>
      <c r="E64" s="10">
        <f>IFERROR(SUMIFS(Composicao_Preparos!H:H,Composicao_Preparos!A:A,A64),0)</f>
      </c>
      <c r="F64" s="9">
        <f>IF(C64&gt;0,IFERROR(E64/C64,""),"")</f>
      </c>
      <c r="G64" s="5"/>
    </row>
    <row r="65" spans="1:7" x14ac:dyDescent="0.25">
      <c r="A65" s="7"/>
      <c r="B65" s="7"/>
      <c r="C65" s="7"/>
      <c r="D65" s="7"/>
      <c r="E65" s="10">
        <f>IFERROR(SUMIFS(Composicao_Preparos!H:H,Composicao_Preparos!A:A,A65),0)</f>
      </c>
      <c r="F65" s="9">
        <f>IF(C65&gt;0,IFERROR(E65/C65,""),"")</f>
      </c>
      <c r="G65" s="5"/>
    </row>
    <row r="66" spans="1:7" x14ac:dyDescent="0.25">
      <c r="A66" s="7"/>
      <c r="B66" s="7"/>
      <c r="C66" s="7"/>
      <c r="D66" s="7"/>
      <c r="E66" s="10">
        <f>IFERROR(SUMIFS(Composicao_Preparos!H:H,Composicao_Preparos!A:A,A66),0)</f>
      </c>
      <c r="F66" s="9">
        <f>IF(C66&gt;0,IFERROR(E66/C66,""),"")</f>
      </c>
      <c r="G66" s="5"/>
    </row>
    <row r="67" spans="1:7" x14ac:dyDescent="0.25">
      <c r="A67" s="7"/>
      <c r="B67" s="7"/>
      <c r="C67" s="7"/>
      <c r="D67" s="7"/>
      <c r="E67" s="10">
        <f>IFERROR(SUMIFS(Composicao_Preparos!H:H,Composicao_Preparos!A:A,A67),0)</f>
      </c>
      <c r="F67" s="9">
        <f>IF(C67&gt;0,IFERROR(E67/C67,""),"")</f>
      </c>
      <c r="G67" s="5"/>
    </row>
    <row r="68" spans="1:7" x14ac:dyDescent="0.25">
      <c r="A68" s="7"/>
      <c r="B68" s="7"/>
      <c r="C68" s="7"/>
      <c r="D68" s="7"/>
      <c r="E68" s="10">
        <f>IFERROR(SUMIFS(Composicao_Preparos!H:H,Composicao_Preparos!A:A,A68),0)</f>
      </c>
      <c r="F68" s="9">
        <f>IF(C68&gt;0,IFERROR(E68/C68,""),"")</f>
      </c>
      <c r="G68" s="5"/>
    </row>
    <row r="69" spans="1:7" x14ac:dyDescent="0.25">
      <c r="A69" s="7"/>
      <c r="B69" s="7"/>
      <c r="C69" s="7"/>
      <c r="D69" s="7"/>
      <c r="E69" s="10">
        <f>IFERROR(SUMIFS(Composicao_Preparos!H:H,Composicao_Preparos!A:A,A69),0)</f>
      </c>
      <c r="F69" s="9">
        <f>IF(C69&gt;0,IFERROR(E69/C69,""),"")</f>
      </c>
      <c r="G69" s="5"/>
    </row>
    <row r="70" spans="1:7" x14ac:dyDescent="0.25">
      <c r="A70" s="7"/>
      <c r="B70" s="7"/>
      <c r="C70" s="7"/>
      <c r="D70" s="7"/>
      <c r="E70" s="10">
        <f>IFERROR(SUMIFS(Composicao_Preparos!H:H,Composicao_Preparos!A:A,A70),0)</f>
      </c>
      <c r="F70" s="9">
        <f>IF(C70&gt;0,IFERROR(E70/C70,""),"")</f>
      </c>
      <c r="G70" s="5"/>
    </row>
    <row r="71" spans="1:7" x14ac:dyDescent="0.25">
      <c r="A71" s="7"/>
      <c r="B71" s="7"/>
      <c r="C71" s="7"/>
      <c r="D71" s="7"/>
      <c r="E71" s="10">
        <f>IFERROR(SUMIFS(Composicao_Preparos!H:H,Composicao_Preparos!A:A,A71),0)</f>
      </c>
      <c r="F71" s="9">
        <f>IF(C71&gt;0,IFERROR(E71/C71,""),"")</f>
      </c>
      <c r="G71" s="5"/>
    </row>
    <row r="72" spans="1:7" x14ac:dyDescent="0.25">
      <c r="A72" s="7"/>
      <c r="B72" s="7"/>
      <c r="C72" s="7"/>
      <c r="D72" s="7"/>
      <c r="E72" s="10">
        <f>IFERROR(SUMIFS(Composicao_Preparos!H:H,Composicao_Preparos!A:A,A72),0)</f>
      </c>
      <c r="F72" s="9">
        <f>IF(C72&gt;0,IFERROR(E72/C72,""),"")</f>
      </c>
      <c r="G72" s="5"/>
    </row>
    <row r="73" spans="1:7" x14ac:dyDescent="0.25">
      <c r="A73" s="7"/>
      <c r="B73" s="7"/>
      <c r="C73" s="7"/>
      <c r="D73" s="7"/>
      <c r="E73" s="10">
        <f>IFERROR(SUMIFS(Composicao_Preparos!H:H,Composicao_Preparos!A:A,A73),0)</f>
      </c>
      <c r="F73" s="9">
        <f>IF(C73&gt;0,IFERROR(E73/C73,""),"")</f>
      </c>
      <c r="G73" s="5"/>
    </row>
    <row r="74" spans="1:7" x14ac:dyDescent="0.25">
      <c r="A74" s="7"/>
      <c r="B74" s="7"/>
      <c r="C74" s="7"/>
      <c r="D74" s="7"/>
      <c r="E74" s="10">
        <f>IFERROR(SUMIFS(Composicao_Preparos!H:H,Composicao_Preparos!A:A,A74),0)</f>
      </c>
      <c r="F74" s="9">
        <f>IF(C74&gt;0,IFERROR(E74/C74,""),"")</f>
      </c>
      <c r="G74" s="5"/>
    </row>
    <row r="75" spans="1:7" x14ac:dyDescent="0.25">
      <c r="A75" s="7"/>
      <c r="B75" s="7"/>
      <c r="C75" s="7"/>
      <c r="D75" s="7"/>
      <c r="E75" s="10">
        <f>IFERROR(SUMIFS(Composicao_Preparos!H:H,Composicao_Preparos!A:A,A75),0)</f>
      </c>
      <c r="F75" s="9">
        <f>IF(C75&gt;0,IFERROR(E75/C75,""),"")</f>
      </c>
      <c r="G75" s="5"/>
    </row>
    <row r="76" spans="1:7" x14ac:dyDescent="0.25">
      <c r="A76" s="7"/>
      <c r="B76" s="7"/>
      <c r="C76" s="7"/>
      <c r="D76" s="7"/>
      <c r="E76" s="10">
        <f>IFERROR(SUMIFS(Composicao_Preparos!H:H,Composicao_Preparos!A:A,A76),0)</f>
      </c>
      <c r="F76" s="9">
        <f>IF(C76&gt;0,IFERROR(E76/C76,""),"")</f>
      </c>
      <c r="G76" s="5"/>
    </row>
    <row r="77" spans="1:7" x14ac:dyDescent="0.25">
      <c r="A77" s="7"/>
      <c r="B77" s="7"/>
      <c r="C77" s="7"/>
      <c r="D77" s="7"/>
      <c r="E77" s="10">
        <f>IFERROR(SUMIFS(Composicao_Preparos!H:H,Composicao_Preparos!A:A,A77),0)</f>
      </c>
      <c r="F77" s="9">
        <f>IF(C77&gt;0,IFERROR(E77/C77,""),"")</f>
      </c>
      <c r="G77" s="5"/>
    </row>
    <row r="78" spans="1:7" x14ac:dyDescent="0.25">
      <c r="A78" s="7"/>
      <c r="B78" s="7"/>
      <c r="C78" s="7"/>
      <c r="D78" s="7"/>
      <c r="E78" s="10">
        <f>IFERROR(SUMIFS(Composicao_Preparos!H:H,Composicao_Preparos!A:A,A78),0)</f>
      </c>
      <c r="F78" s="9">
        <f>IF(C78&gt;0,IFERROR(E78/C78,""),"")</f>
      </c>
      <c r="G78" s="5"/>
    </row>
    <row r="79" spans="1:7" x14ac:dyDescent="0.25">
      <c r="A79" s="7"/>
      <c r="B79" s="7"/>
      <c r="C79" s="7"/>
      <c r="D79" s="7"/>
      <c r="E79" s="10">
        <f>IFERROR(SUMIFS(Composicao_Preparos!H:H,Composicao_Preparos!A:A,A79),0)</f>
      </c>
      <c r="F79" s="9">
        <f>IF(C79&gt;0,IFERROR(E79/C79,""),"")</f>
      </c>
      <c r="G79" s="5"/>
    </row>
    <row r="80" spans="1:7" x14ac:dyDescent="0.25">
      <c r="A80" s="7"/>
      <c r="B80" s="7"/>
      <c r="C80" s="7"/>
      <c r="D80" s="7"/>
      <c r="E80" s="10">
        <f>IFERROR(SUMIFS(Composicao_Preparos!H:H,Composicao_Preparos!A:A,A80),0)</f>
      </c>
      <c r="F80" s="9">
        <f>IF(C80&gt;0,IFERROR(E80/C80,""),"")</f>
      </c>
      <c r="G80" s="5"/>
    </row>
    <row r="81" spans="1:7" x14ac:dyDescent="0.25">
      <c r="A81" s="7"/>
      <c r="B81" s="7"/>
      <c r="C81" s="7"/>
      <c r="D81" s="7"/>
      <c r="E81" s="10">
        <f>IFERROR(SUMIFS(Composicao_Preparos!H:H,Composicao_Preparos!A:A,A81),0)</f>
      </c>
      <c r="F81" s="9">
        <f>IF(C81&gt;0,IFERROR(E81/C81,""),"")</f>
      </c>
      <c r="G81" s="5"/>
    </row>
    <row r="82" spans="1:7" x14ac:dyDescent="0.25">
      <c r="A82" s="7"/>
      <c r="B82" s="7"/>
      <c r="C82" s="7"/>
      <c r="D82" s="7"/>
      <c r="E82" s="10">
        <f>IFERROR(SUMIFS(Composicao_Preparos!H:H,Composicao_Preparos!A:A,A82),0)</f>
      </c>
      <c r="F82" s="9">
        <f>IF(C82&gt;0,IFERROR(E82/C82,""),"")</f>
      </c>
      <c r="G82" s="5"/>
    </row>
    <row r="83" spans="1:7" x14ac:dyDescent="0.25">
      <c r="A83" s="7"/>
      <c r="B83" s="7"/>
      <c r="C83" s="7"/>
      <c r="D83" s="7"/>
      <c r="E83" s="10">
        <f>IFERROR(SUMIFS(Composicao_Preparos!H:H,Composicao_Preparos!A:A,A83),0)</f>
      </c>
      <c r="F83" s="9">
        <f>IF(C83&gt;0,IFERROR(E83/C83,""),"")</f>
      </c>
      <c r="G83" s="5"/>
    </row>
    <row r="84" spans="1:7" x14ac:dyDescent="0.25">
      <c r="A84" s="7"/>
      <c r="B84" s="7"/>
      <c r="C84" s="7"/>
      <c r="D84" s="7"/>
      <c r="E84" s="10">
        <f>IFERROR(SUMIFS(Composicao_Preparos!H:H,Composicao_Preparos!A:A,A84),0)</f>
      </c>
      <c r="F84" s="9">
        <f>IF(C84&gt;0,IFERROR(E84/C84,""),"")</f>
      </c>
      <c r="G84" s="5"/>
    </row>
    <row r="85" spans="1:7" x14ac:dyDescent="0.25">
      <c r="A85" s="7"/>
      <c r="B85" s="7"/>
      <c r="C85" s="7"/>
      <c r="D85" s="7"/>
      <c r="E85" s="10">
        <f>IFERROR(SUMIFS(Composicao_Preparos!H:H,Composicao_Preparos!A:A,A85),0)</f>
      </c>
      <c r="F85" s="9">
        <f>IF(C85&gt;0,IFERROR(E85/C85,""),"")</f>
      </c>
      <c r="G85" s="5"/>
    </row>
    <row r="86" spans="1:7" x14ac:dyDescent="0.25">
      <c r="A86" s="7"/>
      <c r="B86" s="7"/>
      <c r="C86" s="7"/>
      <c r="D86" s="7"/>
      <c r="E86" s="10">
        <f>IFERROR(SUMIFS(Composicao_Preparos!H:H,Composicao_Preparos!A:A,A86),0)</f>
      </c>
      <c r="F86" s="9">
        <f>IF(C86&gt;0,IFERROR(E86/C86,""),"")</f>
      </c>
      <c r="G86" s="5"/>
    </row>
    <row r="87" spans="1:7" x14ac:dyDescent="0.25">
      <c r="A87" s="7"/>
      <c r="B87" s="7"/>
      <c r="C87" s="7"/>
      <c r="D87" s="7"/>
      <c r="E87" s="10">
        <f>IFERROR(SUMIFS(Composicao_Preparos!H:H,Composicao_Preparos!A:A,A87),0)</f>
      </c>
      <c r="F87" s="9">
        <f>IF(C87&gt;0,IFERROR(E87/C87,""),"")</f>
      </c>
      <c r="G87" s="5"/>
    </row>
    <row r="88" spans="1:7" x14ac:dyDescent="0.25">
      <c r="A88" s="7"/>
      <c r="B88" s="7"/>
      <c r="C88" s="7"/>
      <c r="D88" s="7"/>
      <c r="E88" s="10">
        <f>IFERROR(SUMIFS(Composicao_Preparos!H:H,Composicao_Preparos!A:A,A88),0)</f>
      </c>
      <c r="F88" s="9">
        <f>IF(C88&gt;0,IFERROR(E88/C88,""),"")</f>
      </c>
      <c r="G88" s="5"/>
    </row>
    <row r="89" spans="1:7" x14ac:dyDescent="0.25">
      <c r="A89" s="7"/>
      <c r="B89" s="7"/>
      <c r="C89" s="7"/>
      <c r="D89" s="7"/>
      <c r="E89" s="10">
        <f>IFERROR(SUMIFS(Composicao_Preparos!H:H,Composicao_Preparos!A:A,A89),0)</f>
      </c>
      <c r="F89" s="9">
        <f>IF(C89&gt;0,IFERROR(E89/C89,""),"")</f>
      </c>
      <c r="G89" s="5"/>
    </row>
    <row r="90" spans="1:7" x14ac:dyDescent="0.25">
      <c r="A90" s="7"/>
      <c r="B90" s="7"/>
      <c r="C90" s="7"/>
      <c r="D90" s="7"/>
      <c r="E90" s="10">
        <f>IFERROR(SUMIFS(Composicao_Preparos!H:H,Composicao_Preparos!A:A,A90),0)</f>
      </c>
      <c r="F90" s="9">
        <f>IF(C90&gt;0,IFERROR(E90/C90,""),"")</f>
      </c>
      <c r="G90" s="5"/>
    </row>
    <row r="91" spans="1:7" x14ac:dyDescent="0.25">
      <c r="A91" s="7"/>
      <c r="B91" s="7"/>
      <c r="C91" s="7"/>
      <c r="D91" s="7"/>
      <c r="E91" s="10">
        <f>IFERROR(SUMIFS(Composicao_Preparos!H:H,Composicao_Preparos!A:A,A91),0)</f>
      </c>
      <c r="F91" s="9">
        <f>IF(C91&gt;0,IFERROR(E91/C91,""),"")</f>
      </c>
      <c r="G91" s="5"/>
    </row>
    <row r="92" spans="1:7" x14ac:dyDescent="0.25">
      <c r="A92" s="7"/>
      <c r="B92" s="7"/>
      <c r="C92" s="7"/>
      <c r="D92" s="7"/>
      <c r="E92" s="10">
        <f>IFERROR(SUMIFS(Composicao_Preparos!H:H,Composicao_Preparos!A:A,A92),0)</f>
      </c>
      <c r="F92" s="9">
        <f>IF(C92&gt;0,IFERROR(E92/C92,""),"")</f>
      </c>
      <c r="G92" s="5"/>
    </row>
    <row r="93" spans="1:7" x14ac:dyDescent="0.25">
      <c r="A93" s="7"/>
      <c r="B93" s="7"/>
      <c r="C93" s="7"/>
      <c r="D93" s="7"/>
      <c r="E93" s="10">
        <f>IFERROR(SUMIFS(Composicao_Preparos!H:H,Composicao_Preparos!A:A,A93),0)</f>
      </c>
      <c r="F93" s="9">
        <f>IF(C93&gt;0,IFERROR(E93/C93,""),"")</f>
      </c>
      <c r="G93" s="5"/>
    </row>
    <row r="94" spans="1:7" x14ac:dyDescent="0.25">
      <c r="A94" s="7"/>
      <c r="B94" s="7"/>
      <c r="C94" s="7"/>
      <c r="D94" s="7"/>
      <c r="E94" s="10">
        <f>IFERROR(SUMIFS(Composicao_Preparos!H:H,Composicao_Preparos!A:A,A94),0)</f>
      </c>
      <c r="F94" s="9">
        <f>IF(C94&gt;0,IFERROR(E94/C94,""),"")</f>
      </c>
      <c r="G94" s="5"/>
    </row>
    <row r="95" spans="1:7" x14ac:dyDescent="0.25">
      <c r="A95" s="7"/>
      <c r="B95" s="7"/>
      <c r="C95" s="7"/>
      <c r="D95" s="7"/>
      <c r="E95" s="10">
        <f>IFERROR(SUMIFS(Composicao_Preparos!H:H,Composicao_Preparos!A:A,A95),0)</f>
      </c>
      <c r="F95" s="9">
        <f>IF(C95&gt;0,IFERROR(E95/C95,""),"")</f>
      </c>
      <c r="G95" s="5"/>
    </row>
    <row r="96" spans="1:7" x14ac:dyDescent="0.25">
      <c r="A96" s="7"/>
      <c r="B96" s="7"/>
      <c r="C96" s="7"/>
      <c r="D96" s="7"/>
      <c r="E96" s="10">
        <f>IFERROR(SUMIFS(Composicao_Preparos!H:H,Composicao_Preparos!A:A,A96),0)</f>
      </c>
      <c r="F96" s="9">
        <f>IF(C96&gt;0,IFERROR(E96/C96,""),"")</f>
      </c>
      <c r="G96" s="5"/>
    </row>
    <row r="97" spans="1:7" x14ac:dyDescent="0.25">
      <c r="A97" s="7"/>
      <c r="B97" s="7"/>
      <c r="C97" s="7"/>
      <c r="D97" s="7"/>
      <c r="E97" s="10">
        <f>IFERROR(SUMIFS(Composicao_Preparos!H:H,Composicao_Preparos!A:A,A97),0)</f>
      </c>
      <c r="F97" s="9">
        <f>IF(C97&gt;0,IFERROR(E97/C97,""),"")</f>
      </c>
      <c r="G97" s="5"/>
    </row>
    <row r="98" spans="1:7" x14ac:dyDescent="0.25">
      <c r="A98" s="7"/>
      <c r="B98" s="7"/>
      <c r="C98" s="7"/>
      <c r="D98" s="7"/>
      <c r="E98" s="10">
        <f>IFERROR(SUMIFS(Composicao_Preparos!H:H,Composicao_Preparos!A:A,A98),0)</f>
      </c>
      <c r="F98" s="9">
        <f>IF(C98&gt;0,IFERROR(E98/C98,""),"")</f>
      </c>
      <c r="G98" s="5"/>
    </row>
    <row r="99" spans="1:7" x14ac:dyDescent="0.25">
      <c r="A99" s="7"/>
      <c r="B99" s="7"/>
      <c r="C99" s="7"/>
      <c r="D99" s="7"/>
      <c r="E99" s="10">
        <f>IFERROR(SUMIFS(Composicao_Preparos!H:H,Composicao_Preparos!A:A,A99),0)</f>
      </c>
      <c r="F99" s="9">
        <f>IF(C99&gt;0,IFERROR(E99/C99,""),"")</f>
      </c>
      <c r="G99" s="5"/>
    </row>
    <row r="100" spans="1:7" x14ac:dyDescent="0.25">
      <c r="A100" s="7"/>
      <c r="B100" s="7"/>
      <c r="C100" s="7"/>
      <c r="D100" s="7"/>
      <c r="E100" s="10">
        <f>IFERROR(SUMIFS(Composicao_Preparos!H:H,Composicao_Preparos!A:A,A100),0)</f>
      </c>
      <c r="F100" s="9">
        <f>IF(C100&gt;0,IFERROR(E100/C100,""),"")</f>
      </c>
      <c r="G100" s="5"/>
    </row>
    <row r="101" spans="1:7" x14ac:dyDescent="0.25">
      <c r="A101" s="7"/>
      <c r="B101" s="7"/>
      <c r="C101" s="7"/>
      <c r="D101" s="7"/>
      <c r="E101" s="10">
        <f>IFERROR(SUMIFS(Composicao_Preparos!H:H,Composicao_Preparos!A:A,A101),0)</f>
      </c>
      <c r="F101" s="9">
        <f>IF(C101&gt;0,IFERROR(E101/C101,""),"")</f>
      </c>
      <c r="G101" s="5"/>
    </row>
    <row r="102" spans="1:7" x14ac:dyDescent="0.25">
      <c r="A102" s="7"/>
      <c r="B102" s="7"/>
      <c r="C102" s="7"/>
      <c r="D102" s="7"/>
      <c r="E102" s="10">
        <f>IFERROR(SUMIFS(Composicao_Preparos!H:H,Composicao_Preparos!A:A,A102),0)</f>
      </c>
      <c r="F102" s="9">
        <f>IF(C102&gt;0,IFERROR(E102/C102,""),"")</f>
      </c>
      <c r="G102" s="5"/>
    </row>
    <row r="103" spans="1:7" x14ac:dyDescent="0.25">
      <c r="A103" s="7"/>
      <c r="B103" s="7"/>
      <c r="C103" s="7"/>
      <c r="D103" s="7"/>
      <c r="E103" s="10">
        <f>IFERROR(SUMIFS(Composicao_Preparos!H:H,Composicao_Preparos!A:A,A103),0)</f>
      </c>
      <c r="F103" s="9">
        <f>IF(C103&gt;0,IFERROR(E103/C103,""),"")</f>
      </c>
      <c r="G103" s="5"/>
    </row>
    <row r="104" spans="1:7" x14ac:dyDescent="0.25">
      <c r="A104" s="7"/>
      <c r="B104" s="7"/>
      <c r="C104" s="7"/>
      <c r="D104" s="7"/>
      <c r="E104" s="10">
        <f>IFERROR(SUMIFS(Composicao_Preparos!H:H,Composicao_Preparos!A:A,A104),0)</f>
      </c>
      <c r="F104" s="9">
        <f>IF(C104&gt;0,IFERROR(E104/C104,""),"")</f>
      </c>
      <c r="G104" s="5"/>
    </row>
    <row r="105" spans="1:7" x14ac:dyDescent="0.25">
      <c r="A105" s="7"/>
      <c r="B105" s="7"/>
      <c r="C105" s="7"/>
      <c r="D105" s="7"/>
      <c r="E105" s="10">
        <f>IFERROR(SUMIFS(Composicao_Preparos!H:H,Composicao_Preparos!A:A,A105),0)</f>
      </c>
      <c r="F105" s="9">
        <f>IF(C105&gt;0,IFERROR(E105/C105,""),"")</f>
      </c>
      <c r="G105" s="5"/>
    </row>
    <row r="106" spans="1:7" x14ac:dyDescent="0.25">
      <c r="A106" s="7"/>
      <c r="B106" s="7"/>
      <c r="C106" s="7"/>
      <c r="D106" s="7"/>
      <c r="E106" s="10">
        <f>IFERROR(SUMIFS(Composicao_Preparos!H:H,Composicao_Preparos!A:A,A106),0)</f>
      </c>
      <c r="F106" s="9">
        <f>IF(C106&gt;0,IFERROR(E106/C106,""),"")</f>
      </c>
      <c r="G106" s="5"/>
    </row>
    <row r="107" spans="1:7" x14ac:dyDescent="0.25">
      <c r="A107" s="7"/>
      <c r="B107" s="7"/>
      <c r="C107" s="7"/>
      <c r="D107" s="7"/>
      <c r="E107" s="10">
        <f>IFERROR(SUMIFS(Composicao_Preparos!H:H,Composicao_Preparos!A:A,A107),0)</f>
      </c>
      <c r="F107" s="9">
        <f>IF(C107&gt;0,IFERROR(E107/C107,""),"")</f>
      </c>
      <c r="G107" s="5"/>
    </row>
    <row r="108" spans="1:7" x14ac:dyDescent="0.25">
      <c r="A108" s="7"/>
      <c r="B108" s="7"/>
      <c r="C108" s="7"/>
      <c r="D108" s="7"/>
      <c r="E108" s="10">
        <f>IFERROR(SUMIFS(Composicao_Preparos!H:H,Composicao_Preparos!A:A,A108),0)</f>
      </c>
      <c r="F108" s="9">
        <f>IF(C108&gt;0,IFERROR(E108/C108,""),"")</f>
      </c>
      <c r="G108" s="5"/>
    </row>
    <row r="109" spans="1:7" x14ac:dyDescent="0.25">
      <c r="A109" s="7"/>
      <c r="B109" s="7"/>
      <c r="C109" s="7"/>
      <c r="D109" s="7"/>
      <c r="E109" s="10">
        <f>IFERROR(SUMIFS(Composicao_Preparos!H:H,Composicao_Preparos!A:A,A109),0)</f>
      </c>
      <c r="F109" s="9">
        <f>IF(C109&gt;0,IFERROR(E109/C109,""),"")</f>
      </c>
      <c r="G109" s="5"/>
    </row>
    <row r="110" spans="1:7" x14ac:dyDescent="0.25">
      <c r="A110" s="7"/>
      <c r="B110" s="7"/>
      <c r="C110" s="7"/>
      <c r="D110" s="7"/>
      <c r="E110" s="10">
        <f>IFERROR(SUMIFS(Composicao_Preparos!H:H,Composicao_Preparos!A:A,A110),0)</f>
      </c>
      <c r="F110" s="9">
        <f>IF(C110&gt;0,IFERROR(E110/C110,""),"")</f>
      </c>
      <c r="G110" s="5"/>
    </row>
    <row r="111" spans="1:7" x14ac:dyDescent="0.25">
      <c r="A111" s="7"/>
      <c r="B111" s="7"/>
      <c r="C111" s="7"/>
      <c r="D111" s="7"/>
      <c r="E111" s="10">
        <f>IFERROR(SUMIFS(Composicao_Preparos!H:H,Composicao_Preparos!A:A,A111),0)</f>
      </c>
      <c r="F111" s="9">
        <f>IF(C111&gt;0,IFERROR(E111/C111,""),"")</f>
      </c>
      <c r="G111" s="5"/>
    </row>
    <row r="112" spans="1:7" x14ac:dyDescent="0.25">
      <c r="A112" s="7"/>
      <c r="B112" s="7"/>
      <c r="C112" s="7"/>
      <c r="D112" s="7"/>
      <c r="E112" s="10">
        <f>IFERROR(SUMIFS(Composicao_Preparos!H:H,Composicao_Preparos!A:A,A112),0)</f>
      </c>
      <c r="F112" s="9">
        <f>IF(C112&gt;0,IFERROR(E112/C112,""),"")</f>
      </c>
      <c r="G112" s="5"/>
    </row>
    <row r="113" spans="1:7" x14ac:dyDescent="0.25">
      <c r="A113" s="7"/>
      <c r="B113" s="7"/>
      <c r="C113" s="7"/>
      <c r="D113" s="7"/>
      <c r="E113" s="10">
        <f>IFERROR(SUMIFS(Composicao_Preparos!H:H,Composicao_Preparos!A:A,A113),0)</f>
      </c>
      <c r="F113" s="9">
        <f>IF(C113&gt;0,IFERROR(E113/C113,""),"")</f>
      </c>
      <c r="G113" s="5"/>
    </row>
    <row r="114" spans="1:7" x14ac:dyDescent="0.25">
      <c r="A114" s="7"/>
      <c r="B114" s="7"/>
      <c r="C114" s="7"/>
      <c r="D114" s="7"/>
      <c r="E114" s="10">
        <f>IFERROR(SUMIFS(Composicao_Preparos!H:H,Composicao_Preparos!A:A,A114),0)</f>
      </c>
      <c r="F114" s="9">
        <f>IF(C114&gt;0,IFERROR(E114/C114,""),"")</f>
      </c>
      <c r="G114" s="5"/>
    </row>
    <row r="115" spans="1:7" x14ac:dyDescent="0.25">
      <c r="A115" s="7"/>
      <c r="B115" s="7"/>
      <c r="C115" s="7"/>
      <c r="D115" s="7"/>
      <c r="E115" s="10">
        <f>IFERROR(SUMIFS(Composicao_Preparos!H:H,Composicao_Preparos!A:A,A115),0)</f>
      </c>
      <c r="F115" s="9">
        <f>IF(C115&gt;0,IFERROR(E115/C115,""),"")</f>
      </c>
      <c r="G115" s="5"/>
    </row>
    <row r="116" spans="1:7" x14ac:dyDescent="0.25">
      <c r="A116" s="7"/>
      <c r="B116" s="7"/>
      <c r="C116" s="7"/>
      <c r="D116" s="7"/>
      <c r="E116" s="10">
        <f>IFERROR(SUMIFS(Composicao_Preparos!H:H,Composicao_Preparos!A:A,A116),0)</f>
      </c>
      <c r="F116" s="9">
        <f>IF(C116&gt;0,IFERROR(E116/C116,""),"")</f>
      </c>
      <c r="G116" s="5"/>
    </row>
    <row r="117" spans="1:7" x14ac:dyDescent="0.25">
      <c r="A117" s="7"/>
      <c r="B117" s="7"/>
      <c r="C117" s="7"/>
      <c r="D117" s="7"/>
      <c r="E117" s="10">
        <f>IFERROR(SUMIFS(Composicao_Preparos!H:H,Composicao_Preparos!A:A,A117),0)</f>
      </c>
      <c r="F117" s="9">
        <f>IF(C117&gt;0,IFERROR(E117/C117,""),"")</f>
      </c>
      <c r="G117" s="5"/>
    </row>
    <row r="118" spans="1:7" x14ac:dyDescent="0.25">
      <c r="A118" s="7"/>
      <c r="B118" s="7"/>
      <c r="C118" s="7"/>
      <c r="D118" s="7"/>
      <c r="E118" s="10">
        <f>IFERROR(SUMIFS(Composicao_Preparos!H:H,Composicao_Preparos!A:A,A118),0)</f>
      </c>
      <c r="F118" s="9">
        <f>IF(C118&gt;0,IFERROR(E118/C118,""),"")</f>
      </c>
      <c r="G118" s="5"/>
    </row>
    <row r="119" spans="1:7" x14ac:dyDescent="0.25">
      <c r="A119" s="7"/>
      <c r="B119" s="7"/>
      <c r="C119" s="7"/>
      <c r="D119" s="7"/>
      <c r="E119" s="10">
        <f>IFERROR(SUMIFS(Composicao_Preparos!H:H,Composicao_Preparos!A:A,A119),0)</f>
      </c>
      <c r="F119" s="9">
        <f>IF(C119&gt;0,IFERROR(E119/C119,""),"")</f>
      </c>
      <c r="G119" s="5"/>
    </row>
    <row r="120" spans="1:7" x14ac:dyDescent="0.25">
      <c r="A120" s="7"/>
      <c r="B120" s="7"/>
      <c r="C120" s="7"/>
      <c r="D120" s="7"/>
      <c r="E120" s="10">
        <f>IFERROR(SUMIFS(Composicao_Preparos!H:H,Composicao_Preparos!A:A,A120),0)</f>
      </c>
      <c r="F120" s="9">
        <f>IF(C120&gt;0,IFERROR(E120/C120,""),"")</f>
      </c>
      <c r="G120" s="5"/>
    </row>
    <row r="121" spans="1:7" x14ac:dyDescent="0.25">
      <c r="A121" s="7"/>
      <c r="B121" s="7"/>
      <c r="C121" s="7"/>
      <c r="D121" s="7"/>
      <c r="E121" s="10">
        <f>IFERROR(SUMIFS(Composicao_Preparos!H:H,Composicao_Preparos!A:A,A121),0)</f>
      </c>
      <c r="F121" s="9">
        <f>IF(C121&gt;0,IFERROR(E121/C121,""),"")</f>
      </c>
      <c r="G121" s="5"/>
    </row>
    <row r="122" spans="1:7" x14ac:dyDescent="0.25">
      <c r="A122" s="7"/>
      <c r="B122" s="7"/>
      <c r="C122" s="7"/>
      <c r="D122" s="7"/>
      <c r="E122" s="10">
        <f>IFERROR(SUMIFS(Composicao_Preparos!H:H,Composicao_Preparos!A:A,A122),0)</f>
      </c>
      <c r="F122" s="9">
        <f>IF(C122&gt;0,IFERROR(E122/C122,""),"")</f>
      </c>
      <c r="G122" s="5"/>
    </row>
    <row r="123" spans="1:7" x14ac:dyDescent="0.25">
      <c r="A123" s="7"/>
      <c r="B123" s="7"/>
      <c r="C123" s="7"/>
      <c r="D123" s="7"/>
      <c r="E123" s="10">
        <f>IFERROR(SUMIFS(Composicao_Preparos!H:H,Composicao_Preparos!A:A,A123),0)</f>
      </c>
      <c r="F123" s="9">
        <f>IF(C123&gt;0,IFERROR(E123/C123,""),"")</f>
      </c>
      <c r="G123" s="5"/>
    </row>
    <row r="124" spans="1:7" x14ac:dyDescent="0.25">
      <c r="A124" s="7"/>
      <c r="B124" s="7"/>
      <c r="C124" s="7"/>
      <c r="D124" s="7"/>
      <c r="E124" s="10">
        <f>IFERROR(SUMIFS(Composicao_Preparos!H:H,Composicao_Preparos!A:A,A124),0)</f>
      </c>
      <c r="F124" s="9">
        <f>IF(C124&gt;0,IFERROR(E124/C124,""),"")</f>
      </c>
      <c r="G124" s="5"/>
    </row>
    <row r="125" spans="1:7" x14ac:dyDescent="0.25">
      <c r="A125" s="7"/>
      <c r="B125" s="7"/>
      <c r="C125" s="7"/>
      <c r="D125" s="7"/>
      <c r="E125" s="10">
        <f>IFERROR(SUMIFS(Composicao_Preparos!H:H,Composicao_Preparos!A:A,A125),0)</f>
      </c>
      <c r="F125" s="9">
        <f>IF(C125&gt;0,IFERROR(E125/C125,""),"")</f>
      </c>
      <c r="G125" s="5"/>
    </row>
    <row r="126" spans="1:7" x14ac:dyDescent="0.25">
      <c r="A126" s="7"/>
      <c r="B126" s="7"/>
      <c r="C126" s="7"/>
      <c r="D126" s="7"/>
      <c r="E126" s="10">
        <f>IFERROR(SUMIFS(Composicao_Preparos!H:H,Composicao_Preparos!A:A,A126),0)</f>
      </c>
      <c r="F126" s="9">
        <f>IF(C126&gt;0,IFERROR(E126/C126,""),"")</f>
      </c>
      <c r="G126" s="5"/>
    </row>
    <row r="127" spans="1:7" x14ac:dyDescent="0.25">
      <c r="A127" s="7"/>
      <c r="B127" s="7"/>
      <c r="C127" s="7"/>
      <c r="D127" s="7"/>
      <c r="E127" s="10">
        <f>IFERROR(SUMIFS(Composicao_Preparos!H:H,Composicao_Preparos!A:A,A127),0)</f>
      </c>
      <c r="F127" s="9">
        <f>IF(C127&gt;0,IFERROR(E127/C127,""),"")</f>
      </c>
      <c r="G127" s="5"/>
    </row>
    <row r="128" spans="1:7" x14ac:dyDescent="0.25">
      <c r="A128" s="7"/>
      <c r="B128" s="7"/>
      <c r="C128" s="7"/>
      <c r="D128" s="7"/>
      <c r="E128" s="10">
        <f>IFERROR(SUMIFS(Composicao_Preparos!H:H,Composicao_Preparos!A:A,A128),0)</f>
      </c>
      <c r="F128" s="9">
        <f>IF(C128&gt;0,IFERROR(E128/C128,""),"")</f>
      </c>
      <c r="G128" s="5"/>
    </row>
    <row r="129" spans="1:7" x14ac:dyDescent="0.25">
      <c r="A129" s="7"/>
      <c r="B129" s="7"/>
      <c r="C129" s="7"/>
      <c r="D129" s="7"/>
      <c r="E129" s="10">
        <f>IFERROR(SUMIFS(Composicao_Preparos!H:H,Composicao_Preparos!A:A,A129),0)</f>
      </c>
      <c r="F129" s="9">
        <f>IF(C129&gt;0,IFERROR(E129/C129,""),"")</f>
      </c>
      <c r="G129" s="5"/>
    </row>
    <row r="130" spans="1:7" x14ac:dyDescent="0.25">
      <c r="A130" s="7"/>
      <c r="B130" s="7"/>
      <c r="C130" s="7"/>
      <c r="D130" s="7"/>
      <c r="E130" s="10">
        <f>IFERROR(SUMIFS(Composicao_Preparos!H:H,Composicao_Preparos!A:A,A130),0)</f>
      </c>
      <c r="F130" s="9">
        <f>IF(C130&gt;0,IFERROR(E130/C130,""),"")</f>
      </c>
      <c r="G130" s="5"/>
    </row>
    <row r="131" spans="1:7" x14ac:dyDescent="0.25">
      <c r="A131" s="7"/>
      <c r="B131" s="7"/>
      <c r="C131" s="7"/>
      <c r="D131" s="7"/>
      <c r="E131" s="10">
        <f>IFERROR(SUMIFS(Composicao_Preparos!H:H,Composicao_Preparos!A:A,A131),0)</f>
      </c>
      <c r="F131" s="9">
        <f>IF(C131&gt;0,IFERROR(E131/C131,""),"")</f>
      </c>
      <c r="G131" s="5"/>
    </row>
    <row r="132" spans="1:7" x14ac:dyDescent="0.25">
      <c r="A132" s="7"/>
      <c r="B132" s="7"/>
      <c r="C132" s="7"/>
      <c r="D132" s="7"/>
      <c r="E132" s="10">
        <f>IFERROR(SUMIFS(Composicao_Preparos!H:H,Composicao_Preparos!A:A,A132),0)</f>
      </c>
      <c r="F132" s="9">
        <f>IF(C132&gt;0,IFERROR(E132/C132,""),"")</f>
      </c>
      <c r="G132" s="5"/>
    </row>
    <row r="133" spans="1:7" x14ac:dyDescent="0.25">
      <c r="A133" s="7"/>
      <c r="B133" s="7"/>
      <c r="C133" s="7"/>
      <c r="D133" s="7"/>
      <c r="E133" s="10">
        <f>IFERROR(SUMIFS(Composicao_Preparos!H:H,Composicao_Preparos!A:A,A133),0)</f>
      </c>
      <c r="F133" s="9">
        <f>IF(C133&gt;0,IFERROR(E133/C133,""),"")</f>
      </c>
      <c r="G133" s="5"/>
    </row>
    <row r="134" spans="1:7" x14ac:dyDescent="0.25">
      <c r="A134" s="7"/>
      <c r="B134" s="7"/>
      <c r="C134" s="7"/>
      <c r="D134" s="7"/>
      <c r="E134" s="10">
        <f>IFERROR(SUMIFS(Composicao_Preparos!H:H,Composicao_Preparos!A:A,A134),0)</f>
      </c>
      <c r="F134" s="9">
        <f>IF(C134&gt;0,IFERROR(E134/C134,""),"")</f>
      </c>
      <c r="G134" s="5"/>
    </row>
    <row r="135" spans="1:7" x14ac:dyDescent="0.25">
      <c r="A135" s="7"/>
      <c r="B135" s="7"/>
      <c r="C135" s="7"/>
      <c r="D135" s="7"/>
      <c r="E135" s="10">
        <f>IFERROR(SUMIFS(Composicao_Preparos!H:H,Composicao_Preparos!A:A,A135),0)</f>
      </c>
      <c r="F135" s="9">
        <f>IF(C135&gt;0,IFERROR(E135/C135,""),"")</f>
      </c>
      <c r="G135" s="5"/>
    </row>
    <row r="136" spans="1:7" x14ac:dyDescent="0.25">
      <c r="A136" s="7"/>
      <c r="B136" s="7"/>
      <c r="C136" s="7"/>
      <c r="D136" s="7"/>
      <c r="E136" s="10">
        <f>IFERROR(SUMIFS(Composicao_Preparos!H:H,Composicao_Preparos!A:A,A136),0)</f>
      </c>
      <c r="F136" s="9">
        <f>IF(C136&gt;0,IFERROR(E136/C136,""),"")</f>
      </c>
      <c r="G136" s="5"/>
    </row>
    <row r="137" spans="1:7" x14ac:dyDescent="0.25">
      <c r="A137" s="7"/>
      <c r="B137" s="7"/>
      <c r="C137" s="7"/>
      <c r="D137" s="7"/>
      <c r="E137" s="10">
        <f>IFERROR(SUMIFS(Composicao_Preparos!H:H,Composicao_Preparos!A:A,A137),0)</f>
      </c>
      <c r="F137" s="9">
        <f>IF(C137&gt;0,IFERROR(E137/C137,""),"")</f>
      </c>
      <c r="G137" s="5"/>
    </row>
    <row r="138" spans="1:7" x14ac:dyDescent="0.25">
      <c r="A138" s="7"/>
      <c r="B138" s="7"/>
      <c r="C138" s="7"/>
      <c r="D138" s="7"/>
      <c r="E138" s="10">
        <f>IFERROR(SUMIFS(Composicao_Preparos!H:H,Composicao_Preparos!A:A,A138),0)</f>
      </c>
      <c r="F138" s="9">
        <f>IF(C138&gt;0,IFERROR(E138/C138,""),"")</f>
      </c>
      <c r="G138" s="5"/>
    </row>
    <row r="139" spans="1:7" x14ac:dyDescent="0.25">
      <c r="A139" s="7"/>
      <c r="B139" s="7"/>
      <c r="C139" s="7"/>
      <c r="D139" s="7"/>
      <c r="E139" s="10">
        <f>IFERROR(SUMIFS(Composicao_Preparos!H:H,Composicao_Preparos!A:A,A139),0)</f>
      </c>
      <c r="F139" s="9">
        <f>IF(C139&gt;0,IFERROR(E139/C139,""),"")</f>
      </c>
      <c r="G139" s="5"/>
    </row>
    <row r="140" spans="1:7" x14ac:dyDescent="0.25">
      <c r="A140" s="7"/>
      <c r="B140" s="7"/>
      <c r="C140" s="7"/>
      <c r="D140" s="7"/>
      <c r="E140" s="10">
        <f>IFERROR(SUMIFS(Composicao_Preparos!H:H,Composicao_Preparos!A:A,A140),0)</f>
      </c>
      <c r="F140" s="9">
        <f>IF(C140&gt;0,IFERROR(E140/C140,""),"")</f>
      </c>
      <c r="G140" s="5"/>
    </row>
    <row r="141" spans="1:7" x14ac:dyDescent="0.25">
      <c r="A141" s="7"/>
      <c r="B141" s="7"/>
      <c r="C141" s="7"/>
      <c r="D141" s="7"/>
      <c r="E141" s="10">
        <f>IFERROR(SUMIFS(Composicao_Preparos!H:H,Composicao_Preparos!A:A,A141),0)</f>
      </c>
      <c r="F141" s="9">
        <f>IF(C141&gt;0,IFERROR(E141/C141,""),"")</f>
      </c>
      <c r="G141" s="5"/>
    </row>
    <row r="142" spans="1:7" x14ac:dyDescent="0.25">
      <c r="A142" s="7"/>
      <c r="B142" s="7"/>
      <c r="C142" s="7"/>
      <c r="D142" s="7"/>
      <c r="E142" s="10">
        <f>IFERROR(SUMIFS(Composicao_Preparos!H:H,Composicao_Preparos!A:A,A142),0)</f>
      </c>
      <c r="F142" s="9">
        <f>IF(C142&gt;0,IFERROR(E142/C142,""),"")</f>
      </c>
      <c r="G142" s="5"/>
    </row>
    <row r="143" spans="1:7" x14ac:dyDescent="0.25">
      <c r="A143" s="7"/>
      <c r="B143" s="7"/>
      <c r="C143" s="7"/>
      <c r="D143" s="7"/>
      <c r="E143" s="10">
        <f>IFERROR(SUMIFS(Composicao_Preparos!H:H,Composicao_Preparos!A:A,A143),0)</f>
      </c>
      <c r="F143" s="9">
        <f>IF(C143&gt;0,IFERROR(E143/C143,""),"")</f>
      </c>
      <c r="G143" s="5"/>
    </row>
    <row r="144" spans="1:7" x14ac:dyDescent="0.25">
      <c r="A144" s="7"/>
      <c r="B144" s="7"/>
      <c r="C144" s="7"/>
      <c r="D144" s="7"/>
      <c r="E144" s="10">
        <f>IFERROR(SUMIFS(Composicao_Preparos!H:H,Composicao_Preparos!A:A,A144),0)</f>
      </c>
      <c r="F144" s="9">
        <f>IF(C144&gt;0,IFERROR(E144/C144,""),"")</f>
      </c>
      <c r="G144" s="5"/>
    </row>
    <row r="145" spans="1:7" x14ac:dyDescent="0.25">
      <c r="A145" s="7"/>
      <c r="B145" s="7"/>
      <c r="C145" s="7"/>
      <c r="D145" s="7"/>
      <c r="E145" s="10">
        <f>IFERROR(SUMIFS(Composicao_Preparos!H:H,Composicao_Preparos!A:A,A145),0)</f>
      </c>
      <c r="F145" s="9">
        <f>IF(C145&gt;0,IFERROR(E145/C145,""),"")</f>
      </c>
      <c r="G145" s="5"/>
    </row>
    <row r="146" spans="1:7" x14ac:dyDescent="0.25">
      <c r="A146" s="7"/>
      <c r="B146" s="7"/>
      <c r="C146" s="7"/>
      <c r="D146" s="7"/>
      <c r="E146" s="10">
        <f>IFERROR(SUMIFS(Composicao_Preparos!H:H,Composicao_Preparos!A:A,A146),0)</f>
      </c>
      <c r="F146" s="9">
        <f>IF(C146&gt;0,IFERROR(E146/C146,""),"")</f>
      </c>
      <c r="G146" s="5"/>
    </row>
    <row r="147" spans="1:7" x14ac:dyDescent="0.25">
      <c r="A147" s="7"/>
      <c r="B147" s="7"/>
      <c r="C147" s="7"/>
      <c r="D147" s="7"/>
      <c r="E147" s="10">
        <f>IFERROR(SUMIFS(Composicao_Preparos!H:H,Composicao_Preparos!A:A,A147),0)</f>
      </c>
      <c r="F147" s="9">
        <f>IF(C147&gt;0,IFERROR(E147/C147,""),"")</f>
      </c>
      <c r="G147" s="5"/>
    </row>
    <row r="148" spans="1:7" x14ac:dyDescent="0.25">
      <c r="A148" s="7"/>
      <c r="B148" s="7"/>
      <c r="C148" s="7"/>
      <c r="D148" s="7"/>
      <c r="E148" s="10">
        <f>IFERROR(SUMIFS(Composicao_Preparos!H:H,Composicao_Preparos!A:A,A148),0)</f>
      </c>
      <c r="F148" s="9">
        <f>IF(C148&gt;0,IFERROR(E148/C148,""),"")</f>
      </c>
      <c r="G148" s="5"/>
    </row>
    <row r="149" spans="1:7" x14ac:dyDescent="0.25">
      <c r="A149" s="7"/>
      <c r="B149" s="7"/>
      <c r="C149" s="7"/>
      <c r="D149" s="7"/>
      <c r="E149" s="10">
        <f>IFERROR(SUMIFS(Composicao_Preparos!H:H,Composicao_Preparos!A:A,A149),0)</f>
      </c>
      <c r="F149" s="9">
        <f>IF(C149&gt;0,IFERROR(E149/C149,""),"")</f>
      </c>
      <c r="G149" s="5"/>
    </row>
    <row r="150" spans="1:7" x14ac:dyDescent="0.25">
      <c r="A150" s="7"/>
      <c r="B150" s="7"/>
      <c r="C150" s="7"/>
      <c r="D150" s="7"/>
      <c r="E150" s="10">
        <f>IFERROR(SUMIFS(Composicao_Preparos!H:H,Composicao_Preparos!A:A,A150),0)</f>
      </c>
      <c r="F150" s="9">
        <f>IF(C150&gt;0,IFERROR(E150/C150,""),"")</f>
      </c>
      <c r="G150" s="5"/>
    </row>
    <row r="151" spans="1:7" x14ac:dyDescent="0.25">
      <c r="A151" s="7"/>
      <c r="B151" s="7"/>
      <c r="C151" s="7"/>
      <c r="D151" s="7"/>
      <c r="E151" s="10">
        <f>IFERROR(SUMIFS(Composicao_Preparos!H:H,Composicao_Preparos!A:A,A151),0)</f>
      </c>
      <c r="F151" s="9">
        <f>IF(C151&gt;0,IFERROR(E151/C151,""),"")</f>
      </c>
      <c r="G151" s="5"/>
    </row>
    <row r="152" spans="1:7" x14ac:dyDescent="0.25">
      <c r="A152" s="7"/>
      <c r="B152" s="7"/>
      <c r="C152" s="7"/>
      <c r="D152" s="7"/>
      <c r="E152" s="10">
        <f>IFERROR(SUMIFS(Composicao_Preparos!H:H,Composicao_Preparos!A:A,A152),0)</f>
      </c>
      <c r="F152" s="9">
        <f>IF(C152&gt;0,IFERROR(E152/C152,""),"")</f>
      </c>
      <c r="G152" s="5"/>
    </row>
    <row r="153" spans="1:7" x14ac:dyDescent="0.25">
      <c r="A153" s="7"/>
      <c r="B153" s="7"/>
      <c r="C153" s="7"/>
      <c r="D153" s="7"/>
      <c r="E153" s="10">
        <f>IFERROR(SUMIFS(Composicao_Preparos!H:H,Composicao_Preparos!A:A,A153),0)</f>
      </c>
      <c r="F153" s="9">
        <f>IF(C153&gt;0,IFERROR(E153/C153,""),"")</f>
      </c>
      <c r="G153" s="5"/>
    </row>
    <row r="154" spans="1:7" x14ac:dyDescent="0.25">
      <c r="A154" s="7"/>
      <c r="B154" s="7"/>
      <c r="C154" s="7"/>
      <c r="D154" s="7"/>
      <c r="E154" s="10">
        <f>IFERROR(SUMIFS(Composicao_Preparos!H:H,Composicao_Preparos!A:A,A154),0)</f>
      </c>
      <c r="F154" s="9">
        <f>IF(C154&gt;0,IFERROR(E154/C154,""),"")</f>
      </c>
      <c r="G154" s="5"/>
    </row>
    <row r="155" spans="1:7" x14ac:dyDescent="0.25">
      <c r="A155" s="7"/>
      <c r="B155" s="7"/>
      <c r="C155" s="7"/>
      <c r="D155" s="7"/>
      <c r="E155" s="10">
        <f>IFERROR(SUMIFS(Composicao_Preparos!H:H,Composicao_Preparos!A:A,A155),0)</f>
      </c>
      <c r="F155" s="9">
        <f>IF(C155&gt;0,IFERROR(E155/C155,""),"")</f>
      </c>
      <c r="G155" s="5"/>
    </row>
    <row r="156" spans="1:7" x14ac:dyDescent="0.25">
      <c r="A156" s="7"/>
      <c r="B156" s="7"/>
      <c r="C156" s="7"/>
      <c r="D156" s="7"/>
      <c r="E156" s="10">
        <f>IFERROR(SUMIFS(Composicao_Preparos!H:H,Composicao_Preparos!A:A,A156),0)</f>
      </c>
      <c r="F156" s="9">
        <f>IF(C156&gt;0,IFERROR(E156/C156,""),"")</f>
      </c>
      <c r="G156" s="5"/>
    </row>
    <row r="157" spans="1:7" x14ac:dyDescent="0.25">
      <c r="A157" s="7"/>
      <c r="B157" s="7"/>
      <c r="C157" s="7"/>
      <c r="D157" s="7"/>
      <c r="E157" s="10">
        <f>IFERROR(SUMIFS(Composicao_Preparos!H:H,Composicao_Preparos!A:A,A157),0)</f>
      </c>
      <c r="F157" s="9">
        <f>IF(C157&gt;0,IFERROR(E157/C157,""),"")</f>
      </c>
      <c r="G157" s="5"/>
    </row>
    <row r="158" spans="1:7" x14ac:dyDescent="0.25">
      <c r="A158" s="7"/>
      <c r="B158" s="7"/>
      <c r="C158" s="7"/>
      <c r="D158" s="7"/>
      <c r="E158" s="10">
        <f>IFERROR(SUMIFS(Composicao_Preparos!H:H,Composicao_Preparos!A:A,A158),0)</f>
      </c>
      <c r="F158" s="9">
        <f>IF(C158&gt;0,IFERROR(E158/C158,""),"")</f>
      </c>
      <c r="G158" s="5"/>
    </row>
    <row r="159" spans="1:7" x14ac:dyDescent="0.25">
      <c r="A159" s="7"/>
      <c r="B159" s="7"/>
      <c r="C159" s="7"/>
      <c r="D159" s="7"/>
      <c r="E159" s="10">
        <f>IFERROR(SUMIFS(Composicao_Preparos!H:H,Composicao_Preparos!A:A,A159),0)</f>
      </c>
      <c r="F159" s="9">
        <f>IF(C159&gt;0,IFERROR(E159/C159,""),"")</f>
      </c>
      <c r="G159" s="5"/>
    </row>
    <row r="160" spans="1:7" x14ac:dyDescent="0.25">
      <c r="A160" s="7"/>
      <c r="B160" s="7"/>
      <c r="C160" s="7"/>
      <c r="D160" s="7"/>
      <c r="E160" s="10">
        <f>IFERROR(SUMIFS(Composicao_Preparos!H:H,Composicao_Preparos!A:A,A160),0)</f>
      </c>
      <c r="F160" s="9">
        <f>IF(C160&gt;0,IFERROR(E160/C160,""),"")</f>
      </c>
      <c r="G160" s="5"/>
    </row>
    <row r="161" spans="1:7" x14ac:dyDescent="0.25">
      <c r="A161" s="7"/>
      <c r="B161" s="7"/>
      <c r="C161" s="7"/>
      <c r="D161" s="7"/>
      <c r="E161" s="10">
        <f>IFERROR(SUMIFS(Composicao_Preparos!H:H,Composicao_Preparos!A:A,A161),0)</f>
      </c>
      <c r="F161" s="9">
        <f>IF(C161&gt;0,IFERROR(E161/C161,""),"")</f>
      </c>
      <c r="G161" s="5"/>
    </row>
    <row r="162" spans="1:7" x14ac:dyDescent="0.25">
      <c r="A162" s="7"/>
      <c r="B162" s="7"/>
      <c r="C162" s="7"/>
      <c r="D162" s="7"/>
      <c r="E162" s="10">
        <f>IFERROR(SUMIFS(Composicao_Preparos!H:H,Composicao_Preparos!A:A,A162),0)</f>
      </c>
      <c r="F162" s="9">
        <f>IF(C162&gt;0,IFERROR(E162/C162,""),"")</f>
      </c>
      <c r="G162" s="5"/>
    </row>
    <row r="163" spans="1:7" x14ac:dyDescent="0.25">
      <c r="A163" s="7"/>
      <c r="B163" s="7"/>
      <c r="C163" s="7"/>
      <c r="D163" s="7"/>
      <c r="E163" s="10">
        <f>IFERROR(SUMIFS(Composicao_Preparos!H:H,Composicao_Preparos!A:A,A163),0)</f>
      </c>
      <c r="F163" s="9">
        <f>IF(C163&gt;0,IFERROR(E163/C163,""),"")</f>
      </c>
      <c r="G163" s="5"/>
    </row>
    <row r="164" spans="1:7" x14ac:dyDescent="0.25">
      <c r="A164" s="7"/>
      <c r="B164" s="7"/>
      <c r="C164" s="7"/>
      <c r="D164" s="7"/>
      <c r="E164" s="10">
        <f>IFERROR(SUMIFS(Composicao_Preparos!H:H,Composicao_Preparos!A:A,A164),0)</f>
      </c>
      <c r="F164" s="9">
        <f>IF(C164&gt;0,IFERROR(E164/C164,""),"")</f>
      </c>
      <c r="G164" s="5"/>
    </row>
    <row r="165" spans="1:7" x14ac:dyDescent="0.25">
      <c r="A165" s="7"/>
      <c r="B165" s="7"/>
      <c r="C165" s="7"/>
      <c r="D165" s="7"/>
      <c r="E165" s="10">
        <f>IFERROR(SUMIFS(Composicao_Preparos!H:H,Composicao_Preparos!A:A,A165),0)</f>
      </c>
      <c r="F165" s="9">
        <f>IF(C165&gt;0,IFERROR(E165/C165,""),"")</f>
      </c>
      <c r="G165" s="5"/>
    </row>
    <row r="166" spans="1:7" x14ac:dyDescent="0.25">
      <c r="A166" s="7"/>
      <c r="B166" s="7"/>
      <c r="C166" s="7"/>
      <c r="D166" s="7"/>
      <c r="E166" s="10">
        <f>IFERROR(SUMIFS(Composicao_Preparos!H:H,Composicao_Preparos!A:A,A166),0)</f>
      </c>
      <c r="F166" s="9">
        <f>IF(C166&gt;0,IFERROR(E166/C166,""),"")</f>
      </c>
      <c r="G166" s="5"/>
    </row>
    <row r="167" spans="1:7" x14ac:dyDescent="0.25">
      <c r="A167" s="7"/>
      <c r="B167" s="7"/>
      <c r="C167" s="7"/>
      <c r="D167" s="7"/>
      <c r="E167" s="10">
        <f>IFERROR(SUMIFS(Composicao_Preparos!H:H,Composicao_Preparos!A:A,A167),0)</f>
      </c>
      <c r="F167" s="9">
        <f>IF(C167&gt;0,IFERROR(E167/C167,""),"")</f>
      </c>
      <c r="G167" s="5"/>
    </row>
    <row r="168" spans="1:7" x14ac:dyDescent="0.25">
      <c r="A168" s="7"/>
      <c r="B168" s="7"/>
      <c r="C168" s="7"/>
      <c r="D168" s="7"/>
      <c r="E168" s="10">
        <f>IFERROR(SUMIFS(Composicao_Preparos!H:H,Composicao_Preparos!A:A,A168),0)</f>
      </c>
      <c r="F168" s="9">
        <f>IF(C168&gt;0,IFERROR(E168/C168,""),"")</f>
      </c>
      <c r="G168" s="5"/>
    </row>
    <row r="169" spans="1:7" x14ac:dyDescent="0.25">
      <c r="A169" s="7"/>
      <c r="B169" s="7"/>
      <c r="C169" s="7"/>
      <c r="D169" s="7"/>
      <c r="E169" s="10">
        <f>IFERROR(SUMIFS(Composicao_Preparos!H:H,Composicao_Preparos!A:A,A169),0)</f>
      </c>
      <c r="F169" s="9">
        <f>IF(C169&gt;0,IFERROR(E169/C169,""),"")</f>
      </c>
      <c r="G169" s="5"/>
    </row>
    <row r="170" spans="1:7" x14ac:dyDescent="0.25">
      <c r="A170" s="7"/>
      <c r="B170" s="7"/>
      <c r="C170" s="7"/>
      <c r="D170" s="7"/>
      <c r="E170" s="10">
        <f>IFERROR(SUMIFS(Composicao_Preparos!H:H,Composicao_Preparos!A:A,A170),0)</f>
      </c>
      <c r="F170" s="9">
        <f>IF(C170&gt;0,IFERROR(E170/C170,""),"")</f>
      </c>
      <c r="G170" s="5"/>
    </row>
    <row r="171" spans="1:7" x14ac:dyDescent="0.25">
      <c r="A171" s="7"/>
      <c r="B171" s="7"/>
      <c r="C171" s="7"/>
      <c r="D171" s="7"/>
      <c r="E171" s="10">
        <f>IFERROR(SUMIFS(Composicao_Preparos!H:H,Composicao_Preparos!A:A,A171),0)</f>
      </c>
      <c r="F171" s="9">
        <f>IF(C171&gt;0,IFERROR(E171/C171,""),"")</f>
      </c>
      <c r="G171" s="5"/>
    </row>
    <row r="172" spans="1:7" x14ac:dyDescent="0.25">
      <c r="A172" s="7"/>
      <c r="B172" s="7"/>
      <c r="C172" s="7"/>
      <c r="D172" s="7"/>
      <c r="E172" s="10">
        <f>IFERROR(SUMIFS(Composicao_Preparos!H:H,Composicao_Preparos!A:A,A172),0)</f>
      </c>
      <c r="F172" s="9">
        <f>IF(C172&gt;0,IFERROR(E172/C172,""),"")</f>
      </c>
      <c r="G172" s="5"/>
    </row>
    <row r="173" spans="1:7" x14ac:dyDescent="0.25">
      <c r="A173" s="7"/>
      <c r="B173" s="7"/>
      <c r="C173" s="7"/>
      <c r="D173" s="7"/>
      <c r="E173" s="10">
        <f>IFERROR(SUMIFS(Composicao_Preparos!H:H,Composicao_Preparos!A:A,A173),0)</f>
      </c>
      <c r="F173" s="9">
        <f>IF(C173&gt;0,IFERROR(E173/C173,""),"")</f>
      </c>
      <c r="G173" s="5"/>
    </row>
    <row r="174" spans="1:7" x14ac:dyDescent="0.25">
      <c r="A174" s="7"/>
      <c r="B174" s="7"/>
      <c r="C174" s="7"/>
      <c r="D174" s="7"/>
      <c r="E174" s="10">
        <f>IFERROR(SUMIFS(Composicao_Preparos!H:H,Composicao_Preparos!A:A,A174),0)</f>
      </c>
      <c r="F174" s="9">
        <f>IF(C174&gt;0,IFERROR(E174/C174,""),"")</f>
      </c>
      <c r="G174" s="5"/>
    </row>
    <row r="175" spans="1:7" x14ac:dyDescent="0.25">
      <c r="A175" s="7"/>
      <c r="B175" s="7"/>
      <c r="C175" s="7"/>
      <c r="D175" s="7"/>
      <c r="E175" s="10">
        <f>IFERROR(SUMIFS(Composicao_Preparos!H:H,Composicao_Preparos!A:A,A175),0)</f>
      </c>
      <c r="F175" s="9">
        <f>IF(C175&gt;0,IFERROR(E175/C175,""),"")</f>
      </c>
      <c r="G175" s="5"/>
    </row>
    <row r="176" spans="1:7" x14ac:dyDescent="0.25">
      <c r="A176" s="7"/>
      <c r="B176" s="7"/>
      <c r="C176" s="7"/>
      <c r="D176" s="7"/>
      <c r="E176" s="10">
        <f>IFERROR(SUMIFS(Composicao_Preparos!H:H,Composicao_Preparos!A:A,A176),0)</f>
      </c>
      <c r="F176" s="9">
        <f>IF(C176&gt;0,IFERROR(E176/C176,""),"")</f>
      </c>
      <c r="G176" s="5"/>
    </row>
    <row r="177" spans="1:7" x14ac:dyDescent="0.25">
      <c r="A177" s="7"/>
      <c r="B177" s="7"/>
      <c r="C177" s="7"/>
      <c r="D177" s="7"/>
      <c r="E177" s="10">
        <f>IFERROR(SUMIFS(Composicao_Preparos!H:H,Composicao_Preparos!A:A,A177),0)</f>
      </c>
      <c r="F177" s="9">
        <f>IF(C177&gt;0,IFERROR(E177/C177,""),"")</f>
      </c>
      <c r="G177" s="5"/>
    </row>
    <row r="178" spans="1:7" x14ac:dyDescent="0.25">
      <c r="A178" s="7"/>
      <c r="B178" s="7"/>
      <c r="C178" s="7"/>
      <c r="D178" s="7"/>
      <c r="E178" s="10">
        <f>IFERROR(SUMIFS(Composicao_Preparos!H:H,Composicao_Preparos!A:A,A178),0)</f>
      </c>
      <c r="F178" s="9">
        <f>IF(C178&gt;0,IFERROR(E178/C178,""),"")</f>
      </c>
      <c r="G178" s="5"/>
    </row>
    <row r="179" spans="1:7" x14ac:dyDescent="0.25">
      <c r="A179" s="7"/>
      <c r="B179" s="7"/>
      <c r="C179" s="7"/>
      <c r="D179" s="7"/>
      <c r="E179" s="10">
        <f>IFERROR(SUMIFS(Composicao_Preparos!H:H,Composicao_Preparos!A:A,A179),0)</f>
      </c>
      <c r="F179" s="9">
        <f>IF(C179&gt;0,IFERROR(E179/C179,""),"")</f>
      </c>
      <c r="G179" s="5"/>
    </row>
    <row r="180" spans="1:7" x14ac:dyDescent="0.25">
      <c r="A180" s="7"/>
      <c r="B180" s="7"/>
      <c r="C180" s="7"/>
      <c r="D180" s="7"/>
      <c r="E180" s="10">
        <f>IFERROR(SUMIFS(Composicao_Preparos!H:H,Composicao_Preparos!A:A,A180),0)</f>
      </c>
      <c r="F180" s="9">
        <f>IF(C180&gt;0,IFERROR(E180/C180,""),"")</f>
      </c>
      <c r="G180" s="5"/>
    </row>
    <row r="181" spans="1:7" x14ac:dyDescent="0.25">
      <c r="A181" s="7"/>
      <c r="B181" s="7"/>
      <c r="C181" s="7"/>
      <c r="D181" s="7"/>
      <c r="E181" s="10">
        <f>IFERROR(SUMIFS(Composicao_Preparos!H:H,Composicao_Preparos!A:A,A181),0)</f>
      </c>
      <c r="F181" s="9">
        <f>IF(C181&gt;0,IFERROR(E181/C181,""),"")</f>
      </c>
      <c r="G181" s="5"/>
    </row>
    <row r="182" spans="1:7" x14ac:dyDescent="0.25">
      <c r="A182" s="7"/>
      <c r="B182" s="7"/>
      <c r="C182" s="7"/>
      <c r="D182" s="7"/>
      <c r="E182" s="10">
        <f>IFERROR(SUMIFS(Composicao_Preparos!H:H,Composicao_Preparos!A:A,A182),0)</f>
      </c>
      <c r="F182" s="9">
        <f>IF(C182&gt;0,IFERROR(E182/C182,""),"")</f>
      </c>
      <c r="G182" s="5"/>
    </row>
    <row r="183" spans="1:7" x14ac:dyDescent="0.25">
      <c r="A183" s="7"/>
      <c r="B183" s="7"/>
      <c r="C183" s="7"/>
      <c r="D183" s="7"/>
      <c r="E183" s="10">
        <f>IFERROR(SUMIFS(Composicao_Preparos!H:H,Composicao_Preparos!A:A,A183),0)</f>
      </c>
      <c r="F183" s="9">
        <f>IF(C183&gt;0,IFERROR(E183/C183,""),"")</f>
      </c>
      <c r="G183" s="5"/>
    </row>
    <row r="184" spans="1:7" x14ac:dyDescent="0.25">
      <c r="A184" s="7"/>
      <c r="B184" s="7"/>
      <c r="C184" s="7"/>
      <c r="D184" s="7"/>
      <c r="E184" s="10">
        <f>IFERROR(SUMIFS(Composicao_Preparos!H:H,Composicao_Preparos!A:A,A184),0)</f>
      </c>
      <c r="F184" s="9">
        <f>IF(C184&gt;0,IFERROR(E184/C184,""),"")</f>
      </c>
      <c r="G184" s="5"/>
    </row>
    <row r="185" spans="1:7" x14ac:dyDescent="0.25">
      <c r="A185" s="7"/>
      <c r="B185" s="7"/>
      <c r="C185" s="7"/>
      <c r="D185" s="7"/>
      <c r="E185" s="10">
        <f>IFERROR(SUMIFS(Composicao_Preparos!H:H,Composicao_Preparos!A:A,A185),0)</f>
      </c>
      <c r="F185" s="9">
        <f>IF(C185&gt;0,IFERROR(E185/C185,""),"")</f>
      </c>
      <c r="G185" s="5"/>
    </row>
    <row r="186" spans="1:7" x14ac:dyDescent="0.25">
      <c r="A186" s="7"/>
      <c r="B186" s="7"/>
      <c r="C186" s="7"/>
      <c r="D186" s="7"/>
      <c r="E186" s="10">
        <f>IFERROR(SUMIFS(Composicao_Preparos!H:H,Composicao_Preparos!A:A,A186),0)</f>
      </c>
      <c r="F186" s="9">
        <f>IF(C186&gt;0,IFERROR(E186/C186,""),"")</f>
      </c>
      <c r="G186" s="5"/>
    </row>
    <row r="187" spans="1:7" x14ac:dyDescent="0.25">
      <c r="A187" s="7"/>
      <c r="B187" s="7"/>
      <c r="C187" s="7"/>
      <c r="D187" s="7"/>
      <c r="E187" s="10">
        <f>IFERROR(SUMIFS(Composicao_Preparos!H:H,Composicao_Preparos!A:A,A187),0)</f>
      </c>
      <c r="F187" s="9">
        <f>IF(C187&gt;0,IFERROR(E187/C187,""),"")</f>
      </c>
      <c r="G187" s="5"/>
    </row>
    <row r="188" spans="1:7" x14ac:dyDescent="0.25">
      <c r="A188" s="7"/>
      <c r="B188" s="7"/>
      <c r="C188" s="7"/>
      <c r="D188" s="7"/>
      <c r="E188" s="10">
        <f>IFERROR(SUMIFS(Composicao_Preparos!H:H,Composicao_Preparos!A:A,A188),0)</f>
      </c>
      <c r="F188" s="9">
        <f>IF(C188&gt;0,IFERROR(E188/C188,""),"")</f>
      </c>
      <c r="G188" s="5"/>
    </row>
    <row r="189" spans="1:7" x14ac:dyDescent="0.25">
      <c r="A189" s="7"/>
      <c r="B189" s="7"/>
      <c r="C189" s="7"/>
      <c r="D189" s="7"/>
      <c r="E189" s="10">
        <f>IFERROR(SUMIFS(Composicao_Preparos!H:H,Composicao_Preparos!A:A,A189),0)</f>
      </c>
      <c r="F189" s="9">
        <f>IF(C189&gt;0,IFERROR(E189/C189,""),"")</f>
      </c>
      <c r="G189" s="5"/>
    </row>
    <row r="190" spans="1:7" x14ac:dyDescent="0.25">
      <c r="A190" s="7"/>
      <c r="B190" s="7"/>
      <c r="C190" s="7"/>
      <c r="D190" s="7"/>
      <c r="E190" s="10">
        <f>IFERROR(SUMIFS(Composicao_Preparos!H:H,Composicao_Preparos!A:A,A190),0)</f>
      </c>
      <c r="F190" s="9">
        <f>IF(C190&gt;0,IFERROR(E190/C190,""),"")</f>
      </c>
      <c r="G190" s="5"/>
    </row>
    <row r="191" spans="1:7" x14ac:dyDescent="0.25">
      <c r="A191" s="7"/>
      <c r="B191" s="7"/>
      <c r="C191" s="7"/>
      <c r="D191" s="7"/>
      <c r="E191" s="10">
        <f>IFERROR(SUMIFS(Composicao_Preparos!H:H,Composicao_Preparos!A:A,A191),0)</f>
      </c>
      <c r="F191" s="9">
        <f>IF(C191&gt;0,IFERROR(E191/C191,""),"")</f>
      </c>
      <c r="G191" s="5"/>
    </row>
    <row r="192" spans="1:7" x14ac:dyDescent="0.25">
      <c r="A192" s="7"/>
      <c r="B192" s="7"/>
      <c r="C192" s="7"/>
      <c r="D192" s="7"/>
      <c r="E192" s="10">
        <f>IFERROR(SUMIFS(Composicao_Preparos!H:H,Composicao_Preparos!A:A,A192),0)</f>
      </c>
      <c r="F192" s="9">
        <f>IF(C192&gt;0,IFERROR(E192/C192,""),"")</f>
      </c>
      <c r="G192" s="5"/>
    </row>
    <row r="193" spans="1:7" x14ac:dyDescent="0.25">
      <c r="A193" s="7"/>
      <c r="B193" s="7"/>
      <c r="C193" s="7"/>
      <c r="D193" s="7"/>
      <c r="E193" s="10">
        <f>IFERROR(SUMIFS(Composicao_Preparos!H:H,Composicao_Preparos!A:A,A193),0)</f>
      </c>
      <c r="F193" s="9">
        <f>IF(C193&gt;0,IFERROR(E193/C193,""),"")</f>
      </c>
      <c r="G193" s="5"/>
    </row>
    <row r="194" spans="1:7" x14ac:dyDescent="0.25">
      <c r="A194" s="7"/>
      <c r="B194" s="7"/>
      <c r="C194" s="7"/>
      <c r="D194" s="7"/>
      <c r="E194" s="10">
        <f>IFERROR(SUMIFS(Composicao_Preparos!H:H,Composicao_Preparos!A:A,A194),0)</f>
      </c>
      <c r="F194" s="9">
        <f>IF(C194&gt;0,IFERROR(E194/C194,""),"")</f>
      </c>
      <c r="G194" s="5"/>
    </row>
    <row r="195" spans="1:7" x14ac:dyDescent="0.25">
      <c r="A195" s="7"/>
      <c r="B195" s="7"/>
      <c r="C195" s="7"/>
      <c r="D195" s="7"/>
      <c r="E195" s="10">
        <f>IFERROR(SUMIFS(Composicao_Preparos!H:H,Composicao_Preparos!A:A,A195),0)</f>
      </c>
      <c r="F195" s="9">
        <f>IF(C195&gt;0,IFERROR(E195/C195,""),"")</f>
      </c>
      <c r="G195" s="5"/>
    </row>
    <row r="196" spans="1:7" x14ac:dyDescent="0.25">
      <c r="A196" s="7"/>
      <c r="B196" s="7"/>
      <c r="C196" s="7"/>
      <c r="D196" s="7"/>
      <c r="E196" s="10">
        <f>IFERROR(SUMIFS(Composicao_Preparos!H:H,Composicao_Preparos!A:A,A196),0)</f>
      </c>
      <c r="F196" s="9">
        <f>IF(C196&gt;0,IFERROR(E196/C196,""),"")</f>
      </c>
      <c r="G196" s="5"/>
    </row>
    <row r="197" spans="1:7" x14ac:dyDescent="0.25">
      <c r="A197" s="7"/>
      <c r="B197" s="7"/>
      <c r="C197" s="7"/>
      <c r="D197" s="7"/>
      <c r="E197" s="10">
        <f>IFERROR(SUMIFS(Composicao_Preparos!H:H,Composicao_Preparos!A:A,A197),0)</f>
      </c>
      <c r="F197" s="9">
        <f>IF(C197&gt;0,IFERROR(E197/C197,""),"")</f>
      </c>
      <c r="G197" s="5"/>
    </row>
    <row r="198" spans="1:7" x14ac:dyDescent="0.25">
      <c r="A198" s="7"/>
      <c r="B198" s="7"/>
      <c r="C198" s="7"/>
      <c r="D198" s="7"/>
      <c r="E198" s="10">
        <f>IFERROR(SUMIFS(Composicao_Preparos!H:H,Composicao_Preparos!A:A,A198),0)</f>
      </c>
      <c r="F198" s="9">
        <f>IF(C198&gt;0,IFERROR(E198/C198,""),"")</f>
      </c>
      <c r="G198" s="5"/>
    </row>
    <row r="199" spans="1:7" x14ac:dyDescent="0.25">
      <c r="A199" s="7"/>
      <c r="B199" s="7"/>
      <c r="C199" s="7"/>
      <c r="D199" s="7"/>
      <c r="E199" s="10">
        <f>IFERROR(SUMIFS(Composicao_Preparos!H:H,Composicao_Preparos!A:A,A199),0)</f>
      </c>
      <c r="F199" s="9">
        <f>IF(C199&gt;0,IFERROR(E199/C199,""),"")</f>
      </c>
      <c r="G199" s="5"/>
    </row>
    <row r="200" spans="1:7" x14ac:dyDescent="0.25">
      <c r="A200" s="7"/>
      <c r="B200" s="7"/>
      <c r="C200" s="7"/>
      <c r="D200" s="7"/>
      <c r="E200" s="10">
        <f>IFERROR(SUMIFS(Composicao_Preparos!H:H,Composicao_Preparos!A:A,A200),0)</f>
      </c>
      <c r="F200" s="9">
        <f>IF(C200&gt;0,IFERROR(E200/C200,""),"")</f>
      </c>
      <c r="G200" s="5"/>
    </row>
    <row r="201" spans="1:7" x14ac:dyDescent="0.25">
      <c r="A201" s="7"/>
      <c r="B201" s="7"/>
      <c r="C201" s="7"/>
      <c r="D201" s="7"/>
      <c r="E201" s="10">
        <f>IFERROR(SUMIFS(Composicao_Preparos!H:H,Composicao_Preparos!A:A,A201),0)</f>
      </c>
      <c r="F201" s="9">
        <f>IF(C201&gt;0,IFERROR(E201/C201,""),"")</f>
      </c>
      <c r="G201" s="5"/>
    </row>
    <row r="202" spans="1:7" x14ac:dyDescent="0.25">
      <c r="A202" s="7"/>
      <c r="B202" s="7"/>
      <c r="C202" s="7"/>
      <c r="D202" s="7"/>
      <c r="E202" s="10">
        <f>IFERROR(SUMIFS(Composicao_Preparos!H:H,Composicao_Preparos!A:A,A202),0)</f>
      </c>
      <c r="F202" s="9">
        <f>IF(C202&gt;0,IFERROR(E202/C202,""),"")</f>
      </c>
      <c r="G202" s="5"/>
    </row>
    <row r="203" spans="1:7" x14ac:dyDescent="0.25">
      <c r="A203" s="7"/>
      <c r="B203" s="7"/>
      <c r="C203" s="7"/>
      <c r="D203" s="7"/>
      <c r="E203" s="10">
        <f>IFERROR(SUMIFS(Composicao_Preparos!H:H,Composicao_Preparos!A:A,A203),0)</f>
      </c>
      <c r="F203" s="9">
        <f>IF(C203&gt;0,IFERROR(E203/C203,""),"")</f>
      </c>
      <c r="G203" s="5"/>
    </row>
    <row r="204" spans="1:7" x14ac:dyDescent="0.25">
      <c r="A204" s="7"/>
      <c r="B204" s="7"/>
      <c r="C204" s="7"/>
      <c r="D204" s="7"/>
      <c r="E204" s="10">
        <f>IFERROR(SUMIFS(Composicao_Preparos!H:H,Composicao_Preparos!A:A,A204),0)</f>
      </c>
      <c r="F204" s="9">
        <f>IF(C204&gt;0,IFERROR(E204/C204,""),"")</f>
      </c>
      <c r="G204" s="5"/>
    </row>
    <row r="205" spans="1:7" x14ac:dyDescent="0.25">
      <c r="A205" s="7"/>
      <c r="B205" s="7"/>
      <c r="C205" s="7"/>
      <c r="D205" s="7"/>
      <c r="E205" s="10">
        <f>IFERROR(SUMIFS(Composicao_Preparos!H:H,Composicao_Preparos!A:A,A205),0)</f>
      </c>
      <c r="F205" s="9">
        <f>IF(C205&gt;0,IFERROR(E205/C205,""),"")</f>
      </c>
      <c r="G205" s="5"/>
    </row>
    <row r="206" spans="1:7" x14ac:dyDescent="0.25">
      <c r="A206" s="7"/>
      <c r="B206" s="7"/>
      <c r="C206" s="7"/>
      <c r="D206" s="7"/>
      <c r="E206" s="10">
        <f>IFERROR(SUMIFS(Composicao_Preparos!H:H,Composicao_Preparos!A:A,A206),0)</f>
      </c>
      <c r="F206" s="9">
        <f>IF(C206&gt;0,IFERROR(E206/C206,""),"")</f>
      </c>
      <c r="G206" s="5"/>
    </row>
    <row r="207" spans="1:7" x14ac:dyDescent="0.25">
      <c r="A207" s="7"/>
      <c r="B207" s="7"/>
      <c r="C207" s="7"/>
      <c r="D207" s="7"/>
      <c r="E207" s="10">
        <f>IFERROR(SUMIFS(Composicao_Preparos!H:H,Composicao_Preparos!A:A,A207),0)</f>
      </c>
      <c r="F207" s="9">
        <f>IF(C207&gt;0,IFERROR(E207/C207,""),"")</f>
      </c>
      <c r="G207" s="5"/>
    </row>
    <row r="208" spans="1:7" x14ac:dyDescent="0.25">
      <c r="A208" s="7"/>
      <c r="B208" s="7"/>
      <c r="C208" s="7"/>
      <c r="D208" s="7"/>
      <c r="E208" s="10">
        <f>IFERROR(SUMIFS(Composicao_Preparos!H:H,Composicao_Preparos!A:A,A208),0)</f>
      </c>
      <c r="F208" s="9">
        <f>IF(C208&gt;0,IFERROR(E208/C208,""),"")</f>
      </c>
      <c r="G208" s="5"/>
    </row>
    <row r="209" spans="1:7" x14ac:dyDescent="0.25">
      <c r="A209" s="7"/>
      <c r="B209" s="7"/>
      <c r="C209" s="7"/>
      <c r="D209" s="7"/>
      <c r="E209" s="10">
        <f>IFERROR(SUMIFS(Composicao_Preparos!H:H,Composicao_Preparos!A:A,A209),0)</f>
      </c>
      <c r="F209" s="9">
        <f>IF(C209&gt;0,IFERROR(E209/C209,""),"")</f>
      </c>
      <c r="G209" s="5"/>
    </row>
    <row r="210" spans="1:7" x14ac:dyDescent="0.25">
      <c r="A210" s="7"/>
      <c r="B210" s="7"/>
      <c r="C210" s="7"/>
      <c r="D210" s="7"/>
      <c r="E210" s="10">
        <f>IFERROR(SUMIFS(Composicao_Preparos!H:H,Composicao_Preparos!A:A,A210),0)</f>
      </c>
      <c r="F210" s="9">
        <f>IF(C210&gt;0,IFERROR(E210/C210,""),"")</f>
      </c>
      <c r="G210" s="5"/>
    </row>
    <row r="211" spans="1:7" x14ac:dyDescent="0.25">
      <c r="A211" s="7"/>
      <c r="B211" s="7"/>
      <c r="C211" s="7"/>
      <c r="D211" s="7"/>
      <c r="E211" s="10">
        <f>IFERROR(SUMIFS(Composicao_Preparos!H:H,Composicao_Preparos!A:A,A211),0)</f>
      </c>
      <c r="F211" s="9">
        <f>IF(C211&gt;0,IFERROR(E211/C211,""),"")</f>
      </c>
      <c r="G211" s="5"/>
    </row>
    <row r="212" spans="1:7" x14ac:dyDescent="0.25">
      <c r="A212" s="7"/>
      <c r="B212" s="7"/>
      <c r="C212" s="7"/>
      <c r="D212" s="7"/>
      <c r="E212" s="10">
        <f>IFERROR(SUMIFS(Composicao_Preparos!H:H,Composicao_Preparos!A:A,A212),0)</f>
      </c>
      <c r="F212" s="9">
        <f>IF(C212&gt;0,IFERROR(E212/C212,""),"")</f>
      </c>
      <c r="G212" s="5"/>
    </row>
    <row r="213" spans="1:7" x14ac:dyDescent="0.25">
      <c r="A213" s="7"/>
      <c r="B213" s="7"/>
      <c r="C213" s="7"/>
      <c r="D213" s="7"/>
      <c r="E213" s="10">
        <f>IFERROR(SUMIFS(Composicao_Preparos!H:H,Composicao_Preparos!A:A,A213),0)</f>
      </c>
      <c r="F213" s="9">
        <f>IF(C213&gt;0,IFERROR(E213/C213,""),"")</f>
      </c>
      <c r="G213" s="5"/>
    </row>
    <row r="214" spans="1:7" x14ac:dyDescent="0.25">
      <c r="A214" s="7"/>
      <c r="B214" s="7"/>
      <c r="C214" s="7"/>
      <c r="D214" s="7"/>
      <c r="E214" s="10">
        <f>IFERROR(SUMIFS(Composicao_Preparos!H:H,Composicao_Preparos!A:A,A214),0)</f>
      </c>
      <c r="F214" s="9">
        <f>IF(C214&gt;0,IFERROR(E214/C214,""),"")</f>
      </c>
      <c r="G214" s="5"/>
    </row>
    <row r="215" spans="1:7" x14ac:dyDescent="0.25">
      <c r="A215" s="7"/>
      <c r="B215" s="7"/>
      <c r="C215" s="7"/>
      <c r="D215" s="7"/>
      <c r="E215" s="10">
        <f>IFERROR(SUMIFS(Composicao_Preparos!H:H,Composicao_Preparos!A:A,A215),0)</f>
      </c>
      <c r="F215" s="9">
        <f>IF(C215&gt;0,IFERROR(E215/C215,""),"")</f>
      </c>
      <c r="G215" s="5"/>
    </row>
    <row r="216" spans="1:7" x14ac:dyDescent="0.25">
      <c r="A216" s="7"/>
      <c r="B216" s="7"/>
      <c r="C216" s="7"/>
      <c r="D216" s="7"/>
      <c r="E216" s="10">
        <f>IFERROR(SUMIFS(Composicao_Preparos!H:H,Composicao_Preparos!A:A,A216),0)</f>
      </c>
      <c r="F216" s="9">
        <f>IF(C216&gt;0,IFERROR(E216/C216,""),"")</f>
      </c>
      <c r="G216" s="5"/>
    </row>
    <row r="217" spans="1:7" x14ac:dyDescent="0.25">
      <c r="A217" s="7"/>
      <c r="B217" s="7"/>
      <c r="C217" s="7"/>
      <c r="D217" s="7"/>
      <c r="E217" s="10">
        <f>IFERROR(SUMIFS(Composicao_Preparos!H:H,Composicao_Preparos!A:A,A217),0)</f>
      </c>
      <c r="F217" s="9">
        <f>IF(C217&gt;0,IFERROR(E217/C217,""),"")</f>
      </c>
      <c r="G217" s="5"/>
    </row>
    <row r="218" spans="1:7" x14ac:dyDescent="0.25">
      <c r="A218" s="7"/>
      <c r="B218" s="7"/>
      <c r="C218" s="7"/>
      <c r="D218" s="7"/>
      <c r="E218" s="10">
        <f>IFERROR(SUMIFS(Composicao_Preparos!H:H,Composicao_Preparos!A:A,A218),0)</f>
      </c>
      <c r="F218" s="9">
        <f>IF(C218&gt;0,IFERROR(E218/C218,""),"")</f>
      </c>
      <c r="G218" s="5"/>
    </row>
    <row r="219" spans="1:7" x14ac:dyDescent="0.25">
      <c r="A219" s="7"/>
      <c r="B219" s="7"/>
      <c r="C219" s="7"/>
      <c r="D219" s="7"/>
      <c r="E219" s="10">
        <f>IFERROR(SUMIFS(Composicao_Preparos!H:H,Composicao_Preparos!A:A,A219),0)</f>
      </c>
      <c r="F219" s="9">
        <f>IF(C219&gt;0,IFERROR(E219/C219,""),"")</f>
      </c>
      <c r="G219" s="5"/>
    </row>
    <row r="220" spans="1:7" x14ac:dyDescent="0.25">
      <c r="A220" s="7"/>
      <c r="B220" s="7"/>
      <c r="C220" s="7"/>
      <c r="D220" s="7"/>
      <c r="E220" s="10">
        <f>IFERROR(SUMIFS(Composicao_Preparos!H:H,Composicao_Preparos!A:A,A220),0)</f>
      </c>
      <c r="F220" s="9">
        <f>IF(C220&gt;0,IFERROR(E220/C220,""),"")</f>
      </c>
      <c r="G220" s="5"/>
    </row>
    <row r="221" spans="1:7" x14ac:dyDescent="0.25">
      <c r="A221" s="7"/>
      <c r="B221" s="7"/>
      <c r="C221" s="7"/>
      <c r="D221" s="7"/>
      <c r="E221" s="10">
        <f>IFERROR(SUMIFS(Composicao_Preparos!H:H,Composicao_Preparos!A:A,A221),0)</f>
      </c>
      <c r="F221" s="9">
        <f>IF(C221&gt;0,IFERROR(E221/C221,""),"")</f>
      </c>
      <c r="G221" s="5"/>
    </row>
    <row r="222" spans="1:7" x14ac:dyDescent="0.25">
      <c r="A222" s="7"/>
      <c r="B222" s="7"/>
      <c r="C222" s="7"/>
      <c r="D222" s="7"/>
      <c r="E222" s="10">
        <f>IFERROR(SUMIFS(Composicao_Preparos!H:H,Composicao_Preparos!A:A,A222),0)</f>
      </c>
      <c r="F222" s="9">
        <f>IF(C222&gt;0,IFERROR(E222/C222,""),"")</f>
      </c>
      <c r="G222" s="5"/>
    </row>
    <row r="223" spans="1:7" x14ac:dyDescent="0.25">
      <c r="A223" s="7"/>
      <c r="B223" s="7"/>
      <c r="C223" s="7"/>
      <c r="D223" s="7"/>
      <c r="E223" s="10">
        <f>IFERROR(SUMIFS(Composicao_Preparos!H:H,Composicao_Preparos!A:A,A223),0)</f>
      </c>
      <c r="F223" s="9">
        <f>IF(C223&gt;0,IFERROR(E223/C223,""),"")</f>
      </c>
      <c r="G223" s="5"/>
    </row>
    <row r="224" spans="1:7" x14ac:dyDescent="0.25">
      <c r="A224" s="7"/>
      <c r="B224" s="7"/>
      <c r="C224" s="7"/>
      <c r="D224" s="7"/>
      <c r="E224" s="10">
        <f>IFERROR(SUMIFS(Composicao_Preparos!H:H,Composicao_Preparos!A:A,A224),0)</f>
      </c>
      <c r="F224" s="9">
        <f>IF(C224&gt;0,IFERROR(E224/C224,""),"")</f>
      </c>
      <c r="G224" s="5"/>
    </row>
    <row r="225" spans="1:7" x14ac:dyDescent="0.25">
      <c r="A225" s="7"/>
      <c r="B225" s="7"/>
      <c r="C225" s="7"/>
      <c r="D225" s="7"/>
      <c r="E225" s="10">
        <f>IFERROR(SUMIFS(Composicao_Preparos!H:H,Composicao_Preparos!A:A,A225),0)</f>
      </c>
      <c r="F225" s="9">
        <f>IF(C225&gt;0,IFERROR(E225/C225,""),"")</f>
      </c>
      <c r="G225" s="5"/>
    </row>
    <row r="226" spans="1:7" x14ac:dyDescent="0.25">
      <c r="A226" s="7"/>
      <c r="B226" s="7"/>
      <c r="C226" s="7"/>
      <c r="D226" s="7"/>
      <c r="E226" s="10">
        <f>IFERROR(SUMIFS(Composicao_Preparos!H:H,Composicao_Preparos!A:A,A226),0)</f>
      </c>
      <c r="F226" s="9">
        <f>IF(C226&gt;0,IFERROR(E226/C226,""),"")</f>
      </c>
      <c r="G226" s="5"/>
    </row>
    <row r="227" spans="1:7" x14ac:dyDescent="0.25">
      <c r="A227" s="7"/>
      <c r="B227" s="7"/>
      <c r="C227" s="7"/>
      <c r="D227" s="7"/>
      <c r="E227" s="10">
        <f>IFERROR(SUMIFS(Composicao_Preparos!H:H,Composicao_Preparos!A:A,A227),0)</f>
      </c>
      <c r="F227" s="9">
        <f>IF(C227&gt;0,IFERROR(E227/C227,""),"")</f>
      </c>
      <c r="G227" s="5"/>
    </row>
    <row r="228" spans="1:7" x14ac:dyDescent="0.25">
      <c r="A228" s="7"/>
      <c r="B228" s="7"/>
      <c r="C228" s="7"/>
      <c r="D228" s="7"/>
      <c r="E228" s="10">
        <f>IFERROR(SUMIFS(Composicao_Preparos!H:H,Composicao_Preparos!A:A,A228),0)</f>
      </c>
      <c r="F228" s="9">
        <f>IF(C228&gt;0,IFERROR(E228/C228,""),"")</f>
      </c>
      <c r="G228" s="5"/>
    </row>
    <row r="229" spans="1:7" x14ac:dyDescent="0.25">
      <c r="A229" s="7"/>
      <c r="B229" s="7"/>
      <c r="C229" s="7"/>
      <c r="D229" s="7"/>
      <c r="E229" s="10">
        <f>IFERROR(SUMIFS(Composicao_Preparos!H:H,Composicao_Preparos!A:A,A229),0)</f>
      </c>
      <c r="F229" s="9">
        <f>IF(C229&gt;0,IFERROR(E229/C229,""),"")</f>
      </c>
      <c r="G229" s="5"/>
    </row>
    <row r="230" spans="1:7" x14ac:dyDescent="0.25">
      <c r="A230" s="7"/>
      <c r="B230" s="7"/>
      <c r="C230" s="7"/>
      <c r="D230" s="7"/>
      <c r="E230" s="10">
        <f>IFERROR(SUMIFS(Composicao_Preparos!H:H,Composicao_Preparos!A:A,A230),0)</f>
      </c>
      <c r="F230" s="9">
        <f>IF(C230&gt;0,IFERROR(E230/C230,""),"")</f>
      </c>
      <c r="G230" s="5"/>
    </row>
    <row r="231" spans="1:7" x14ac:dyDescent="0.25">
      <c r="A231" s="7"/>
      <c r="B231" s="7"/>
      <c r="C231" s="7"/>
      <c r="D231" s="7"/>
      <c r="E231" s="10">
        <f>IFERROR(SUMIFS(Composicao_Preparos!H:H,Composicao_Preparos!A:A,A231),0)</f>
      </c>
      <c r="F231" s="9">
        <f>IF(C231&gt;0,IFERROR(E231/C231,""),"")</f>
      </c>
      <c r="G231" s="5"/>
    </row>
    <row r="232" spans="1:7" x14ac:dyDescent="0.25">
      <c r="A232" s="7"/>
      <c r="B232" s="7"/>
      <c r="C232" s="7"/>
      <c r="D232" s="7"/>
      <c r="E232" s="10">
        <f>IFERROR(SUMIFS(Composicao_Preparos!H:H,Composicao_Preparos!A:A,A232),0)</f>
      </c>
      <c r="F232" s="9">
        <f>IF(C232&gt;0,IFERROR(E232/C232,""),"")</f>
      </c>
      <c r="G232" s="5"/>
    </row>
    <row r="233" spans="1:7" x14ac:dyDescent="0.25">
      <c r="A233" s="7"/>
      <c r="B233" s="7"/>
      <c r="C233" s="7"/>
      <c r="D233" s="7"/>
      <c r="E233" s="10">
        <f>IFERROR(SUMIFS(Composicao_Preparos!H:H,Composicao_Preparos!A:A,A233),0)</f>
      </c>
      <c r="F233" s="9">
        <f>IF(C233&gt;0,IFERROR(E233/C233,""),"")</f>
      </c>
      <c r="G233" s="5"/>
    </row>
    <row r="234" spans="1:7" x14ac:dyDescent="0.25">
      <c r="A234" s="7"/>
      <c r="B234" s="7"/>
      <c r="C234" s="7"/>
      <c r="D234" s="7"/>
      <c r="E234" s="10">
        <f>IFERROR(SUMIFS(Composicao_Preparos!H:H,Composicao_Preparos!A:A,A234),0)</f>
      </c>
      <c r="F234" s="9">
        <f>IF(C234&gt;0,IFERROR(E234/C234,""),"")</f>
      </c>
      <c r="G234" s="5"/>
    </row>
    <row r="235" spans="1:7" x14ac:dyDescent="0.25">
      <c r="A235" s="7"/>
      <c r="B235" s="7"/>
      <c r="C235" s="7"/>
      <c r="D235" s="7"/>
      <c r="E235" s="10">
        <f>IFERROR(SUMIFS(Composicao_Preparos!H:H,Composicao_Preparos!A:A,A235),0)</f>
      </c>
      <c r="F235" s="9">
        <f>IF(C235&gt;0,IFERROR(E235/C235,""),"")</f>
      </c>
      <c r="G235" s="5"/>
    </row>
    <row r="236" spans="1:7" x14ac:dyDescent="0.25">
      <c r="A236" s="7"/>
      <c r="B236" s="7"/>
      <c r="C236" s="7"/>
      <c r="D236" s="7"/>
      <c r="E236" s="10">
        <f>IFERROR(SUMIFS(Composicao_Preparos!H:H,Composicao_Preparos!A:A,A236),0)</f>
      </c>
      <c r="F236" s="9">
        <f>IF(C236&gt;0,IFERROR(E236/C236,""),"")</f>
      </c>
      <c r="G236" s="5"/>
    </row>
    <row r="237" spans="1:7" x14ac:dyDescent="0.25">
      <c r="A237" s="7"/>
      <c r="B237" s="7"/>
      <c r="C237" s="7"/>
      <c r="D237" s="7"/>
      <c r="E237" s="10">
        <f>IFERROR(SUMIFS(Composicao_Preparos!H:H,Composicao_Preparos!A:A,A237),0)</f>
      </c>
      <c r="F237" s="9">
        <f>IF(C237&gt;0,IFERROR(E237/C237,""),"")</f>
      </c>
      <c r="G237" s="5"/>
    </row>
    <row r="238" spans="1:7" x14ac:dyDescent="0.25">
      <c r="A238" s="7"/>
      <c r="B238" s="7"/>
      <c r="C238" s="7"/>
      <c r="D238" s="7"/>
      <c r="E238" s="10">
        <f>IFERROR(SUMIFS(Composicao_Preparos!H:H,Composicao_Preparos!A:A,A238),0)</f>
      </c>
      <c r="F238" s="9">
        <f>IF(C238&gt;0,IFERROR(E238/C238,""),"")</f>
      </c>
      <c r="G238" s="5"/>
    </row>
    <row r="239" spans="1:7" x14ac:dyDescent="0.25">
      <c r="A239" s="7"/>
      <c r="B239" s="7"/>
      <c r="C239" s="7"/>
      <c r="D239" s="7"/>
      <c r="E239" s="10">
        <f>IFERROR(SUMIFS(Composicao_Preparos!H:H,Composicao_Preparos!A:A,A239),0)</f>
      </c>
      <c r="F239" s="9">
        <f>IF(C239&gt;0,IFERROR(E239/C239,""),"")</f>
      </c>
      <c r="G239" s="5"/>
    </row>
    <row r="240" spans="1:7" x14ac:dyDescent="0.25">
      <c r="A240" s="7"/>
      <c r="B240" s="7"/>
      <c r="C240" s="7"/>
      <c r="D240" s="7"/>
      <c r="E240" s="10">
        <f>IFERROR(SUMIFS(Composicao_Preparos!H:H,Composicao_Preparos!A:A,A240),0)</f>
      </c>
      <c r="F240" s="9">
        <f>IF(C240&gt;0,IFERROR(E240/C240,""),"")</f>
      </c>
      <c r="G240" s="5"/>
    </row>
    <row r="241" spans="1:7" x14ac:dyDescent="0.25">
      <c r="A241" s="7"/>
      <c r="B241" s="7"/>
      <c r="C241" s="7"/>
      <c r="D241" s="7"/>
      <c r="E241" s="10">
        <f>IFERROR(SUMIFS(Composicao_Preparos!H:H,Composicao_Preparos!A:A,A241),0)</f>
      </c>
      <c r="F241" s="9">
        <f>IF(C241&gt;0,IFERROR(E241/C241,""),"")</f>
      </c>
      <c r="G241" s="5"/>
    </row>
    <row r="242" spans="1:7" x14ac:dyDescent="0.25">
      <c r="A242" s="7"/>
      <c r="B242" s="7"/>
      <c r="C242" s="7"/>
      <c r="D242" s="7"/>
      <c r="E242" s="10">
        <f>IFERROR(SUMIFS(Composicao_Preparos!H:H,Composicao_Preparos!A:A,A242),0)</f>
      </c>
      <c r="F242" s="9">
        <f>IF(C242&gt;0,IFERROR(E242/C242,""),"")</f>
      </c>
      <c r="G242" s="5"/>
    </row>
    <row r="243" spans="1:7" x14ac:dyDescent="0.25">
      <c r="A243" s="7"/>
      <c r="B243" s="7"/>
      <c r="C243" s="7"/>
      <c r="D243" s="7"/>
      <c r="E243" s="10">
        <f>IFERROR(SUMIFS(Composicao_Preparos!H:H,Composicao_Preparos!A:A,A243),0)</f>
      </c>
      <c r="F243" s="9">
        <f>IF(C243&gt;0,IFERROR(E243/C243,""),"")</f>
      </c>
      <c r="G243" s="5"/>
    </row>
    <row r="244" spans="1:7" x14ac:dyDescent="0.25">
      <c r="A244" s="7"/>
      <c r="B244" s="7"/>
      <c r="C244" s="7"/>
      <c r="D244" s="7"/>
      <c r="E244" s="10">
        <f>IFERROR(SUMIFS(Composicao_Preparos!H:H,Composicao_Preparos!A:A,A244),0)</f>
      </c>
      <c r="F244" s="9">
        <f>IF(C244&gt;0,IFERROR(E244/C244,""),"")</f>
      </c>
      <c r="G244" s="5"/>
    </row>
    <row r="245" spans="1:7" x14ac:dyDescent="0.25">
      <c r="A245" s="7"/>
      <c r="B245" s="7"/>
      <c r="C245" s="7"/>
      <c r="D245" s="7"/>
      <c r="E245" s="10">
        <f>IFERROR(SUMIFS(Composicao_Preparos!H:H,Composicao_Preparos!A:A,A245),0)</f>
      </c>
      <c r="F245" s="9">
        <f>IF(C245&gt;0,IFERROR(E245/C245,""),"")</f>
      </c>
      <c r="G245" s="5"/>
    </row>
    <row r="246" spans="1:7" x14ac:dyDescent="0.25">
      <c r="A246" s="7"/>
      <c r="B246" s="7"/>
      <c r="C246" s="7"/>
      <c r="D246" s="7"/>
      <c r="E246" s="10">
        <f>IFERROR(SUMIFS(Composicao_Preparos!H:H,Composicao_Preparos!A:A,A246),0)</f>
      </c>
      <c r="F246" s="9">
        <f>IF(C246&gt;0,IFERROR(E246/C246,""),"")</f>
      </c>
      <c r="G246" s="5"/>
    </row>
    <row r="247" spans="1:7" x14ac:dyDescent="0.25">
      <c r="A247" s="7"/>
      <c r="B247" s="7"/>
      <c r="C247" s="7"/>
      <c r="D247" s="7"/>
      <c r="E247" s="10">
        <f>IFERROR(SUMIFS(Composicao_Preparos!H:H,Composicao_Preparos!A:A,A247),0)</f>
      </c>
      <c r="F247" s="9">
        <f>IF(C247&gt;0,IFERROR(E247/C247,""),"")</f>
      </c>
      <c r="G247" s="5"/>
    </row>
    <row r="248" spans="1:7" x14ac:dyDescent="0.25">
      <c r="A248" s="7"/>
      <c r="B248" s="7"/>
      <c r="C248" s="7"/>
      <c r="D248" s="7"/>
      <c r="E248" s="10">
        <f>IFERROR(SUMIFS(Composicao_Preparos!H:H,Composicao_Preparos!A:A,A248),0)</f>
      </c>
      <c r="F248" s="9">
        <f>IF(C248&gt;0,IFERROR(E248/C248,""),"")</f>
      </c>
      <c r="G248" s="5"/>
    </row>
    <row r="249" spans="1:7" x14ac:dyDescent="0.25">
      <c r="A249" s="7"/>
      <c r="B249" s="7"/>
      <c r="C249" s="7"/>
      <c r="D249" s="7"/>
      <c r="E249" s="10">
        <f>IFERROR(SUMIFS(Composicao_Preparos!H:H,Composicao_Preparos!A:A,A249),0)</f>
      </c>
      <c r="F249" s="9">
        <f>IF(C249&gt;0,IFERROR(E249/C249,""),"")</f>
      </c>
      <c r="G249" s="5"/>
    </row>
    <row r="250" spans="1:7" x14ac:dyDescent="0.25">
      <c r="A250" s="7"/>
      <c r="B250" s="7"/>
      <c r="C250" s="7"/>
      <c r="D250" s="7"/>
      <c r="E250" s="10">
        <f>IFERROR(SUMIFS(Composicao_Preparos!H:H,Composicao_Preparos!A:A,A250),0)</f>
      </c>
      <c r="F250" s="9">
        <f>IF(C250&gt;0,IFERROR(E250/C250,""),"")</f>
      </c>
      <c r="G250" s="5"/>
    </row>
    <row r="251" spans="1:7" x14ac:dyDescent="0.25">
      <c r="A251" s="7"/>
      <c r="B251" s="7"/>
      <c r="C251" s="7"/>
      <c r="D251" s="7"/>
      <c r="E251" s="10">
        <f>IFERROR(SUMIFS(Composicao_Preparos!H:H,Composicao_Preparos!A:A,A251),0)</f>
      </c>
      <c r="F251" s="9">
        <f>IF(C251&gt;0,IFERROR(E251/C251,""),"")</f>
      </c>
      <c r="G251" s="5"/>
    </row>
    <row r="252" spans="1:7" x14ac:dyDescent="0.25">
      <c r="A252" s="7"/>
      <c r="B252" s="7"/>
      <c r="C252" s="7"/>
      <c r="D252" s="7"/>
      <c r="E252" s="10">
        <f>IFERROR(SUMIFS(Composicao_Preparos!H:H,Composicao_Preparos!A:A,A252),0)</f>
      </c>
      <c r="F252" s="9">
        <f>IF(C252&gt;0,IFERROR(E252/C252,""),"")</f>
      </c>
      <c r="G252" s="5"/>
    </row>
    <row r="253" spans="1:7" x14ac:dyDescent="0.25">
      <c r="A253" s="7"/>
      <c r="B253" s="7"/>
      <c r="C253" s="7"/>
      <c r="D253" s="7"/>
      <c r="E253" s="10">
        <f>IFERROR(SUMIFS(Composicao_Preparos!H:H,Composicao_Preparos!A:A,A253),0)</f>
      </c>
      <c r="F253" s="9">
        <f>IF(C253&gt;0,IFERROR(E253/C253,""),"")</f>
      </c>
      <c r="G253" s="5"/>
    </row>
    <row r="254" spans="1:7" x14ac:dyDescent="0.25">
      <c r="A254" s="7"/>
      <c r="B254" s="7"/>
      <c r="C254" s="7"/>
      <c r="D254" s="7"/>
      <c r="E254" s="10">
        <f>IFERROR(SUMIFS(Composicao_Preparos!H:H,Composicao_Preparos!A:A,A254),0)</f>
      </c>
      <c r="F254" s="9">
        <f>IF(C254&gt;0,IFERROR(E254/C254,""),"")</f>
      </c>
      <c r="G254" s="5"/>
    </row>
    <row r="255" spans="1:7" x14ac:dyDescent="0.25">
      <c r="A255" s="7"/>
      <c r="B255" s="7"/>
      <c r="C255" s="7"/>
      <c r="D255" s="7"/>
      <c r="E255" s="10">
        <f>IFERROR(SUMIFS(Composicao_Preparos!H:H,Composicao_Preparos!A:A,A255),0)</f>
      </c>
      <c r="F255" s="9">
        <f>IF(C255&gt;0,IFERROR(E255/C255,""),"")</f>
      </c>
      <c r="G255" s="5"/>
    </row>
    <row r="256" spans="1:7" x14ac:dyDescent="0.25">
      <c r="A256" s="7"/>
      <c r="B256" s="7"/>
      <c r="C256" s="7"/>
      <c r="D256" s="7"/>
      <c r="E256" s="10">
        <f>IFERROR(SUMIFS(Composicao_Preparos!H:H,Composicao_Preparos!A:A,A256),0)</f>
      </c>
      <c r="F256" s="9">
        <f>IF(C256&gt;0,IFERROR(E256/C256,""),"")</f>
      </c>
      <c r="G256" s="5"/>
    </row>
    <row r="257" spans="1:7" x14ac:dyDescent="0.25">
      <c r="A257" s="7"/>
      <c r="B257" s="7"/>
      <c r="C257" s="7"/>
      <c r="D257" s="7"/>
      <c r="E257" s="10">
        <f>IFERROR(SUMIFS(Composicao_Preparos!H:H,Composicao_Preparos!A:A,A257),0)</f>
      </c>
      <c r="F257" s="9">
        <f>IF(C257&gt;0,IFERROR(E257/C257,""),"")</f>
      </c>
      <c r="G257" s="5"/>
    </row>
    <row r="258" spans="1:7" x14ac:dyDescent="0.25">
      <c r="A258" s="7"/>
      <c r="B258" s="7"/>
      <c r="C258" s="7"/>
      <c r="D258" s="7"/>
      <c r="E258" s="10">
        <f>IFERROR(SUMIFS(Composicao_Preparos!H:H,Composicao_Preparos!A:A,A258),0)</f>
      </c>
      <c r="F258" s="9">
        <f>IF(C258&gt;0,IFERROR(E258/C258,""),"")</f>
      </c>
      <c r="G258" s="5"/>
    </row>
    <row r="259" spans="1:7" x14ac:dyDescent="0.25">
      <c r="A259" s="7"/>
      <c r="B259" s="7"/>
      <c r="C259" s="7"/>
      <c r="D259" s="7"/>
      <c r="E259" s="10">
        <f>IFERROR(SUMIFS(Composicao_Preparos!H:H,Composicao_Preparos!A:A,A259),0)</f>
      </c>
      <c r="F259" s="9">
        <f>IF(C259&gt;0,IFERROR(E259/C259,""),"")</f>
      </c>
      <c r="G259" s="5"/>
    </row>
    <row r="260" spans="1:7" x14ac:dyDescent="0.25">
      <c r="A260" s="7"/>
      <c r="B260" s="7"/>
      <c r="C260" s="7"/>
      <c r="D260" s="7"/>
      <c r="E260" s="10">
        <f>IFERROR(SUMIFS(Composicao_Preparos!H:H,Composicao_Preparos!A:A,A260),0)</f>
      </c>
      <c r="F260" s="9">
        <f>IF(C260&gt;0,IFERROR(E260/C260,""),"")</f>
      </c>
      <c r="G260" s="5"/>
    </row>
    <row r="261" spans="1:7" x14ac:dyDescent="0.25">
      <c r="A261" s="7"/>
      <c r="B261" s="7"/>
      <c r="C261" s="7"/>
      <c r="D261" s="7"/>
      <c r="E261" s="10">
        <f>IFERROR(SUMIFS(Composicao_Preparos!H:H,Composicao_Preparos!A:A,A261),0)</f>
      </c>
      <c r="F261" s="9">
        <f>IF(C261&gt;0,IFERROR(E261/C261,""),"")</f>
      </c>
      <c r="G261" s="5"/>
    </row>
    <row r="262" spans="1:7" x14ac:dyDescent="0.25">
      <c r="A262" s="7"/>
      <c r="B262" s="7"/>
      <c r="C262" s="7"/>
      <c r="D262" s="7"/>
      <c r="E262" s="10">
        <f>IFERROR(SUMIFS(Composicao_Preparos!H:H,Composicao_Preparos!A:A,A262),0)</f>
      </c>
      <c r="F262" s="9">
        <f>IF(C262&gt;0,IFERROR(E262/C262,""),"")</f>
      </c>
      <c r="G262" s="5"/>
    </row>
    <row r="263" spans="1:7" x14ac:dyDescent="0.25">
      <c r="A263" s="7"/>
      <c r="B263" s="7"/>
      <c r="C263" s="7"/>
      <c r="D263" s="7"/>
      <c r="E263" s="10">
        <f>IFERROR(SUMIFS(Composicao_Preparos!H:H,Composicao_Preparos!A:A,A263),0)</f>
      </c>
      <c r="F263" s="9">
        <f>IF(C263&gt;0,IFERROR(E263/C263,""),"")</f>
      </c>
      <c r="G263" s="5"/>
    </row>
    <row r="264" spans="1:7" x14ac:dyDescent="0.25">
      <c r="A264" s="7"/>
      <c r="B264" s="7"/>
      <c r="C264" s="7"/>
      <c r="D264" s="7"/>
      <c r="E264" s="10">
        <f>IFERROR(SUMIFS(Composicao_Preparos!H:H,Composicao_Preparos!A:A,A264),0)</f>
      </c>
      <c r="F264" s="9">
        <f>IF(C264&gt;0,IFERROR(E264/C264,""),"")</f>
      </c>
      <c r="G264" s="5"/>
    </row>
    <row r="265" spans="1:7" x14ac:dyDescent="0.25">
      <c r="A265" s="7"/>
      <c r="B265" s="7"/>
      <c r="C265" s="7"/>
      <c r="D265" s="7"/>
      <c r="E265" s="10">
        <f>IFERROR(SUMIFS(Composicao_Preparos!H:H,Composicao_Preparos!A:A,A265),0)</f>
      </c>
      <c r="F265" s="9">
        <f>IF(C265&gt;0,IFERROR(E265/C265,""),"")</f>
      </c>
      <c r="G265" s="5"/>
    </row>
    <row r="266" spans="1:7" x14ac:dyDescent="0.25">
      <c r="A266" s="7"/>
      <c r="B266" s="7"/>
      <c r="C266" s="7"/>
      <c r="D266" s="7"/>
      <c r="E266" s="10">
        <f>IFERROR(SUMIFS(Composicao_Preparos!H:H,Composicao_Preparos!A:A,A266),0)</f>
      </c>
      <c r="F266" s="9">
        <f>IF(C266&gt;0,IFERROR(E266/C266,""),"")</f>
      </c>
      <c r="G266" s="5"/>
    </row>
    <row r="267" spans="1:7" x14ac:dyDescent="0.25">
      <c r="A267" s="7"/>
      <c r="B267" s="7"/>
      <c r="C267" s="7"/>
      <c r="D267" s="7"/>
      <c r="E267" s="10">
        <f>IFERROR(SUMIFS(Composicao_Preparos!H:H,Composicao_Preparos!A:A,A267),0)</f>
      </c>
      <c r="F267" s="9">
        <f>IF(C267&gt;0,IFERROR(E267/C267,""),"")</f>
      </c>
      <c r="G267" s="5"/>
    </row>
    <row r="268" spans="1:7" x14ac:dyDescent="0.25">
      <c r="A268" s="7"/>
      <c r="B268" s="7"/>
      <c r="C268" s="7"/>
      <c r="D268" s="7"/>
      <c r="E268" s="10">
        <f>IFERROR(SUMIFS(Composicao_Preparos!H:H,Composicao_Preparos!A:A,A268),0)</f>
      </c>
      <c r="F268" s="9">
        <f>IF(C268&gt;0,IFERROR(E268/C268,""),"")</f>
      </c>
      <c r="G268" s="5"/>
    </row>
    <row r="269" spans="1:7" x14ac:dyDescent="0.25">
      <c r="A269" s="7"/>
      <c r="B269" s="7"/>
      <c r="C269" s="7"/>
      <c r="D269" s="7"/>
      <c r="E269" s="10">
        <f>IFERROR(SUMIFS(Composicao_Preparos!H:H,Composicao_Preparos!A:A,A269),0)</f>
      </c>
      <c r="F269" s="9">
        <f>IF(C269&gt;0,IFERROR(E269/C269,""),"")</f>
      </c>
      <c r="G269" s="5"/>
    </row>
    <row r="270" spans="1:7" x14ac:dyDescent="0.25">
      <c r="A270" s="7"/>
      <c r="B270" s="7"/>
      <c r="C270" s="7"/>
      <c r="D270" s="7"/>
      <c r="E270" s="10">
        <f>IFERROR(SUMIFS(Composicao_Preparos!H:H,Composicao_Preparos!A:A,A270),0)</f>
      </c>
      <c r="F270" s="9">
        <f>IF(C270&gt;0,IFERROR(E270/C270,""),"")</f>
      </c>
      <c r="G270" s="5"/>
    </row>
    <row r="271" spans="1:7" x14ac:dyDescent="0.25">
      <c r="A271" s="7"/>
      <c r="B271" s="7"/>
      <c r="C271" s="7"/>
      <c r="D271" s="7"/>
      <c r="E271" s="10">
        <f>IFERROR(SUMIFS(Composicao_Preparos!H:H,Composicao_Preparos!A:A,A271),0)</f>
      </c>
      <c r="F271" s="9">
        <f>IF(C271&gt;0,IFERROR(E271/C271,""),"")</f>
      </c>
      <c r="G271" s="5"/>
    </row>
    <row r="272" spans="1:7" x14ac:dyDescent="0.25">
      <c r="A272" s="7"/>
      <c r="B272" s="7"/>
      <c r="C272" s="7"/>
      <c r="D272" s="7"/>
      <c r="E272" s="10">
        <f>IFERROR(SUMIFS(Composicao_Preparos!H:H,Composicao_Preparos!A:A,A272),0)</f>
      </c>
      <c r="F272" s="9">
        <f>IF(C272&gt;0,IFERROR(E272/C272,""),"")</f>
      </c>
      <c r="G272" s="5"/>
    </row>
    <row r="273" spans="1:7" x14ac:dyDescent="0.25">
      <c r="A273" s="7"/>
      <c r="B273" s="7"/>
      <c r="C273" s="7"/>
      <c r="D273" s="7"/>
      <c r="E273" s="10">
        <f>IFERROR(SUMIFS(Composicao_Preparos!H:H,Composicao_Preparos!A:A,A273),0)</f>
      </c>
      <c r="F273" s="9">
        <f>IF(C273&gt;0,IFERROR(E273/C273,""),"")</f>
      </c>
      <c r="G273" s="5"/>
    </row>
    <row r="274" spans="1:7" x14ac:dyDescent="0.25">
      <c r="A274" s="7"/>
      <c r="B274" s="7"/>
      <c r="C274" s="7"/>
      <c r="D274" s="7"/>
      <c r="E274" s="10">
        <f>IFERROR(SUMIFS(Composicao_Preparos!H:H,Composicao_Preparos!A:A,A274),0)</f>
      </c>
      <c r="F274" s="9">
        <f>IF(C274&gt;0,IFERROR(E274/C274,""),"")</f>
      </c>
      <c r="G274" s="5"/>
    </row>
    <row r="275" spans="1:7" x14ac:dyDescent="0.25">
      <c r="A275" s="7"/>
      <c r="B275" s="7"/>
      <c r="C275" s="7"/>
      <c r="D275" s="7"/>
      <c r="E275" s="10">
        <f>IFERROR(SUMIFS(Composicao_Preparos!H:H,Composicao_Preparos!A:A,A275),0)</f>
      </c>
      <c r="F275" s="9">
        <f>IF(C275&gt;0,IFERROR(E275/C275,""),"")</f>
      </c>
      <c r="G275" s="5"/>
    </row>
    <row r="276" spans="1:7" x14ac:dyDescent="0.25">
      <c r="A276" s="7"/>
      <c r="B276" s="7"/>
      <c r="C276" s="7"/>
      <c r="D276" s="7"/>
      <c r="E276" s="10">
        <f>IFERROR(SUMIFS(Composicao_Preparos!H:H,Composicao_Preparos!A:A,A276),0)</f>
      </c>
      <c r="F276" s="9">
        <f>IF(C276&gt;0,IFERROR(E276/C276,""),"")</f>
      </c>
      <c r="G276" s="5"/>
    </row>
    <row r="277" spans="1:7" x14ac:dyDescent="0.25">
      <c r="A277" s="7"/>
      <c r="B277" s="7"/>
      <c r="C277" s="7"/>
      <c r="D277" s="7"/>
      <c r="E277" s="10">
        <f>IFERROR(SUMIFS(Composicao_Preparos!H:H,Composicao_Preparos!A:A,A277),0)</f>
      </c>
      <c r="F277" s="9">
        <f>IF(C277&gt;0,IFERROR(E277/C277,""),"")</f>
      </c>
      <c r="G277" s="5"/>
    </row>
    <row r="278" spans="1:7" x14ac:dyDescent="0.25">
      <c r="A278" s="7"/>
      <c r="B278" s="7"/>
      <c r="C278" s="7"/>
      <c r="D278" s="7"/>
      <c r="E278" s="10">
        <f>IFERROR(SUMIFS(Composicao_Preparos!H:H,Composicao_Preparos!A:A,A278),0)</f>
      </c>
      <c r="F278" s="9">
        <f>IF(C278&gt;0,IFERROR(E278/C278,""),"")</f>
      </c>
      <c r="G278" s="5"/>
    </row>
    <row r="279" spans="1:7" x14ac:dyDescent="0.25">
      <c r="A279" s="7"/>
      <c r="B279" s="7"/>
      <c r="C279" s="7"/>
      <c r="D279" s="7"/>
      <c r="E279" s="10">
        <f>IFERROR(SUMIFS(Composicao_Preparos!H:H,Composicao_Preparos!A:A,A279),0)</f>
      </c>
      <c r="F279" s="9">
        <f>IF(C279&gt;0,IFERROR(E279/C279,""),"")</f>
      </c>
      <c r="G279" s="5"/>
    </row>
    <row r="280" spans="1:7" x14ac:dyDescent="0.25">
      <c r="A280" s="7"/>
      <c r="B280" s="7"/>
      <c r="C280" s="7"/>
      <c r="D280" s="7"/>
      <c r="E280" s="10">
        <f>IFERROR(SUMIFS(Composicao_Preparos!H:H,Composicao_Preparos!A:A,A280),0)</f>
      </c>
      <c r="F280" s="9">
        <f>IF(C280&gt;0,IFERROR(E280/C280,""),"")</f>
      </c>
      <c r="G280" s="5"/>
    </row>
    <row r="281" spans="1:7" x14ac:dyDescent="0.25">
      <c r="A281" s="7"/>
      <c r="B281" s="7"/>
      <c r="C281" s="7"/>
      <c r="D281" s="7"/>
      <c r="E281" s="10">
        <f>IFERROR(SUMIFS(Composicao_Preparos!H:H,Composicao_Preparos!A:A,A281),0)</f>
      </c>
      <c r="F281" s="9">
        <f>IF(C281&gt;0,IFERROR(E281/C281,""),"")</f>
      </c>
      <c r="G281" s="5"/>
    </row>
    <row r="282" spans="1:7" x14ac:dyDescent="0.25">
      <c r="A282" s="7"/>
      <c r="B282" s="7"/>
      <c r="C282" s="7"/>
      <c r="D282" s="7"/>
      <c r="E282" s="10">
        <f>IFERROR(SUMIFS(Composicao_Preparos!H:H,Composicao_Preparos!A:A,A282),0)</f>
      </c>
      <c r="F282" s="9">
        <f>IF(C282&gt;0,IFERROR(E282/C282,""),"")</f>
      </c>
      <c r="G282" s="5"/>
    </row>
    <row r="283" spans="1:7" x14ac:dyDescent="0.25">
      <c r="A283" s="7"/>
      <c r="B283" s="7"/>
      <c r="C283" s="7"/>
      <c r="D283" s="7"/>
      <c r="E283" s="10">
        <f>IFERROR(SUMIFS(Composicao_Preparos!H:H,Composicao_Preparos!A:A,A283),0)</f>
      </c>
      <c r="F283" s="9">
        <f>IF(C283&gt;0,IFERROR(E283/C283,""),"")</f>
      </c>
      <c r="G283" s="5"/>
    </row>
    <row r="284" spans="1:7" x14ac:dyDescent="0.25">
      <c r="A284" s="7"/>
      <c r="B284" s="7"/>
      <c r="C284" s="7"/>
      <c r="D284" s="7"/>
      <c r="E284" s="10">
        <f>IFERROR(SUMIFS(Composicao_Preparos!H:H,Composicao_Preparos!A:A,A284),0)</f>
      </c>
      <c r="F284" s="9">
        <f>IF(C284&gt;0,IFERROR(E284/C284,""),"")</f>
      </c>
      <c r="G284" s="5"/>
    </row>
    <row r="285" spans="1:7" x14ac:dyDescent="0.25">
      <c r="A285" s="7"/>
      <c r="B285" s="7"/>
      <c r="C285" s="7"/>
      <c r="D285" s="7"/>
      <c r="E285" s="10">
        <f>IFERROR(SUMIFS(Composicao_Preparos!H:H,Composicao_Preparos!A:A,A285),0)</f>
      </c>
      <c r="F285" s="9">
        <f>IF(C285&gt;0,IFERROR(E285/C285,""),"")</f>
      </c>
      <c r="G285" s="5"/>
    </row>
    <row r="286" spans="1:7" x14ac:dyDescent="0.25">
      <c r="A286" s="7"/>
      <c r="B286" s="7"/>
      <c r="C286" s="7"/>
      <c r="D286" s="7"/>
      <c r="E286" s="10">
        <f>IFERROR(SUMIFS(Composicao_Preparos!H:H,Composicao_Preparos!A:A,A286),0)</f>
      </c>
      <c r="F286" s="9">
        <f>IF(C286&gt;0,IFERROR(E286/C286,""),"")</f>
      </c>
      <c r="G286" s="5"/>
    </row>
    <row r="287" spans="1:7" x14ac:dyDescent="0.25">
      <c r="A287" s="7"/>
      <c r="B287" s="7"/>
      <c r="C287" s="7"/>
      <c r="D287" s="7"/>
      <c r="E287" s="10">
        <f>IFERROR(SUMIFS(Composicao_Preparos!H:H,Composicao_Preparos!A:A,A287),0)</f>
      </c>
      <c r="F287" s="9">
        <f>IF(C287&gt;0,IFERROR(E287/C287,""),"")</f>
      </c>
      <c r="G287" s="5"/>
    </row>
    <row r="288" spans="1:7" x14ac:dyDescent="0.25">
      <c r="A288" s="7"/>
      <c r="B288" s="7"/>
      <c r="C288" s="7"/>
      <c r="D288" s="7"/>
      <c r="E288" s="10">
        <f>IFERROR(SUMIFS(Composicao_Preparos!H:H,Composicao_Preparos!A:A,A288),0)</f>
      </c>
      <c r="F288" s="9">
        <f>IF(C288&gt;0,IFERROR(E288/C288,""),"")</f>
      </c>
      <c r="G288" s="5"/>
    </row>
    <row r="289" spans="1:7" x14ac:dyDescent="0.25">
      <c r="A289" s="7"/>
      <c r="B289" s="7"/>
      <c r="C289" s="7"/>
      <c r="D289" s="7"/>
      <c r="E289" s="10">
        <f>IFERROR(SUMIFS(Composicao_Preparos!H:H,Composicao_Preparos!A:A,A289),0)</f>
      </c>
      <c r="F289" s="9">
        <f>IF(C289&gt;0,IFERROR(E289/C289,""),"")</f>
      </c>
      <c r="G289" s="5"/>
    </row>
    <row r="290" spans="1:7" x14ac:dyDescent="0.25">
      <c r="A290" s="7"/>
      <c r="B290" s="7"/>
      <c r="C290" s="7"/>
      <c r="D290" s="7"/>
      <c r="E290" s="10">
        <f>IFERROR(SUMIFS(Composicao_Preparos!H:H,Composicao_Preparos!A:A,A290),0)</f>
      </c>
      <c r="F290" s="9">
        <f>IF(C290&gt;0,IFERROR(E290/C290,""),"")</f>
      </c>
      <c r="G290" s="5"/>
    </row>
    <row r="291" spans="1:7" x14ac:dyDescent="0.25">
      <c r="A291" s="7"/>
      <c r="B291" s="7"/>
      <c r="C291" s="7"/>
      <c r="D291" s="7"/>
      <c r="E291" s="10">
        <f>IFERROR(SUMIFS(Composicao_Preparos!H:H,Composicao_Preparos!A:A,A291),0)</f>
      </c>
      <c r="F291" s="9">
        <f>IF(C291&gt;0,IFERROR(E291/C291,""),"")</f>
      </c>
      <c r="G291" s="5"/>
    </row>
    <row r="292" spans="1:7" x14ac:dyDescent="0.25">
      <c r="A292" s="7"/>
      <c r="B292" s="7"/>
      <c r="C292" s="7"/>
      <c r="D292" s="7"/>
      <c r="E292" s="10">
        <f>IFERROR(SUMIFS(Composicao_Preparos!H:H,Composicao_Preparos!A:A,A292),0)</f>
      </c>
      <c r="F292" s="9">
        <f>IF(C292&gt;0,IFERROR(E292/C292,""),"")</f>
      </c>
      <c r="G292" s="5"/>
    </row>
    <row r="293" spans="1:7" x14ac:dyDescent="0.25">
      <c r="A293" s="7"/>
      <c r="B293" s="7"/>
      <c r="C293" s="7"/>
      <c r="D293" s="7"/>
      <c r="E293" s="10">
        <f>IFERROR(SUMIFS(Composicao_Preparos!H:H,Composicao_Preparos!A:A,A293),0)</f>
      </c>
      <c r="F293" s="9">
        <f>IF(C293&gt;0,IFERROR(E293/C293,""),"")</f>
      </c>
      <c r="G293" s="5"/>
    </row>
    <row r="294" spans="1:7" x14ac:dyDescent="0.25">
      <c r="A294" s="7"/>
      <c r="B294" s="7"/>
      <c r="C294" s="7"/>
      <c r="D294" s="7"/>
      <c r="E294" s="10">
        <f>IFERROR(SUMIFS(Composicao_Preparos!H:H,Composicao_Preparos!A:A,A294),0)</f>
      </c>
      <c r="F294" s="9">
        <f>IF(C294&gt;0,IFERROR(E294/C294,""),"")</f>
      </c>
      <c r="G294" s="5"/>
    </row>
    <row r="295" spans="1:7" x14ac:dyDescent="0.25">
      <c r="A295" s="7"/>
      <c r="B295" s="7"/>
      <c r="C295" s="7"/>
      <c r="D295" s="7"/>
      <c r="E295" s="10">
        <f>IFERROR(SUMIFS(Composicao_Preparos!H:H,Composicao_Preparos!A:A,A295),0)</f>
      </c>
      <c r="F295" s="9">
        <f>IF(C295&gt;0,IFERROR(E295/C295,""),"")</f>
      </c>
      <c r="G295" s="5"/>
    </row>
    <row r="296" spans="1:7" x14ac:dyDescent="0.25">
      <c r="A296" s="7"/>
      <c r="B296" s="7"/>
      <c r="C296" s="7"/>
      <c r="D296" s="7"/>
      <c r="E296" s="10">
        <f>IFERROR(SUMIFS(Composicao_Preparos!H:H,Composicao_Preparos!A:A,A296),0)</f>
      </c>
      <c r="F296" s="9">
        <f>IF(C296&gt;0,IFERROR(E296/C296,""),"")</f>
      </c>
      <c r="G296" s="5"/>
    </row>
    <row r="297" spans="1:7" x14ac:dyDescent="0.25">
      <c r="A297" s="7"/>
      <c r="B297" s="7"/>
      <c r="C297" s="7"/>
      <c r="D297" s="7"/>
      <c r="E297" s="10">
        <f>IFERROR(SUMIFS(Composicao_Preparos!H:H,Composicao_Preparos!A:A,A297),0)</f>
      </c>
      <c r="F297" s="9">
        <f>IF(C297&gt;0,IFERROR(E297/C297,""),"")</f>
      </c>
      <c r="G297" s="5"/>
    </row>
    <row r="298" spans="1:7" x14ac:dyDescent="0.25">
      <c r="A298" s="7"/>
      <c r="B298" s="7"/>
      <c r="C298" s="7"/>
      <c r="D298" s="7"/>
      <c r="E298" s="10">
        <f>IFERROR(SUMIFS(Composicao_Preparos!H:H,Composicao_Preparos!A:A,A298),0)</f>
      </c>
      <c r="F298" s="9">
        <f>IF(C298&gt;0,IFERROR(E298/C298,""),"")</f>
      </c>
      <c r="G298" s="5"/>
    </row>
    <row r="299" spans="1:7" x14ac:dyDescent="0.25">
      <c r="A299" s="7"/>
      <c r="B299" s="7"/>
      <c r="C299" s="7"/>
      <c r="D299" s="7"/>
      <c r="E299" s="10">
        <f>IFERROR(SUMIFS(Composicao_Preparos!H:H,Composicao_Preparos!A:A,A299),0)</f>
      </c>
      <c r="F299" s="9">
        <f>IF(C299&gt;0,IFERROR(E299/C299,""),"")</f>
      </c>
      <c r="G299" s="5"/>
    </row>
    <row r="300" spans="1:7" x14ac:dyDescent="0.25">
      <c r="A300" s="7"/>
      <c r="B300" s="7"/>
      <c r="C300" s="7"/>
      <c r="D300" s="7"/>
      <c r="E300" s="10">
        <f>IFERROR(SUMIFS(Composicao_Preparos!H:H,Composicao_Preparos!A:A,A300),0)</f>
      </c>
      <c r="F300" s="9">
        <f>IF(C300&gt;0,IFERROR(E300/C300,""),"")</f>
      </c>
      <c r="G300" s="5"/>
    </row>
    <row r="301" spans="1:7" x14ac:dyDescent="0.25">
      <c r="A301" s="7"/>
      <c r="B301" s="7"/>
      <c r="C301" s="7"/>
      <c r="D301" s="7"/>
      <c r="E301" s="10">
        <f>IFERROR(SUMIFS(Composicao_Preparos!H:H,Composicao_Preparos!A:A,A301),0)</f>
      </c>
      <c r="F301" s="9">
        <f>IF(C301&gt;0,IFERROR(E301/C301,""),"")</f>
      </c>
      <c r="G301" s="5"/>
    </row>
    <row r="302" spans="1:7" x14ac:dyDescent="0.25">
      <c r="A302" s="7"/>
      <c r="B302" s="7"/>
      <c r="C302" s="7"/>
      <c r="D302" s="7"/>
      <c r="E302" s="10">
        <f>IFERROR(SUMIFS(Composicao_Preparos!H:H,Composicao_Preparos!A:A,A302),0)</f>
      </c>
      <c r="F302" s="9">
        <f>IF(C302&gt;0,IFERROR(E302/C302,""),"")</f>
      </c>
      <c r="G302" s="5"/>
    </row>
    <row r="303" spans="1:7" x14ac:dyDescent="0.25">
      <c r="A303" s="7"/>
      <c r="B303" s="7"/>
      <c r="C303" s="7"/>
      <c r="D303" s="7"/>
      <c r="E303" s="10">
        <f>IFERROR(SUMIFS(Composicao_Preparos!H:H,Composicao_Preparos!A:A,A303),0)</f>
      </c>
      <c r="F303" s="9">
        <f>IF(C303&gt;0,IFERROR(E303/C303,""),"")</f>
      </c>
      <c r="G303" s="5"/>
    </row>
    <row r="304" spans="1:7" x14ac:dyDescent="0.25">
      <c r="A304" s="7"/>
      <c r="B304" s="7"/>
      <c r="C304" s="7"/>
      <c r="D304" s="7"/>
      <c r="E304" s="10">
        <f>IFERROR(SUMIFS(Composicao_Preparos!H:H,Composicao_Preparos!A:A,A304),0)</f>
      </c>
      <c r="F304" s="9">
        <f>IF(C304&gt;0,IFERROR(E304/C304,""),"")</f>
      </c>
      <c r="G304" s="5"/>
    </row>
    <row r="305" spans="1:7" x14ac:dyDescent="0.25">
      <c r="A305" s="7"/>
      <c r="B305" s="7"/>
      <c r="C305" s="7"/>
      <c r="D305" s="7"/>
      <c r="E305" s="10">
        <f>IFERROR(SUMIFS(Composicao_Preparos!H:H,Composicao_Preparos!A:A,A305),0)</f>
      </c>
      <c r="F305" s="9">
        <f>IF(C305&gt;0,IFERROR(E305/C305,""),"")</f>
      </c>
      <c r="G305" s="5"/>
    </row>
    <row r="306" spans="1:7" x14ac:dyDescent="0.25">
      <c r="A306" s="7"/>
      <c r="B306" s="7"/>
      <c r="C306" s="7"/>
      <c r="D306" s="7"/>
      <c r="E306" s="10">
        <f>IFERROR(SUMIFS(Composicao_Preparos!H:H,Composicao_Preparos!A:A,A306),0)</f>
      </c>
      <c r="F306" s="9">
        <f>IF(C306&gt;0,IFERROR(E306/C306,""),"")</f>
      </c>
      <c r="G306" s="5"/>
    </row>
    <row r="307" spans="1:7" x14ac:dyDescent="0.25">
      <c r="A307" s="7"/>
      <c r="B307" s="7"/>
      <c r="C307" s="7"/>
      <c r="D307" s="7"/>
      <c r="E307" s="10">
        <f>IFERROR(SUMIFS(Composicao_Preparos!H:H,Composicao_Preparos!A:A,A307),0)</f>
      </c>
      <c r="F307" s="9">
        <f>IF(C307&gt;0,IFERROR(E307/C307,""),"")</f>
      </c>
      <c r="G307" s="5"/>
    </row>
    <row r="308" spans="1:7" x14ac:dyDescent="0.25">
      <c r="A308" s="7"/>
      <c r="B308" s="7"/>
      <c r="C308" s="7"/>
      <c r="D308" s="7"/>
      <c r="E308" s="10">
        <f>IFERROR(SUMIFS(Composicao_Preparos!H:H,Composicao_Preparos!A:A,A308),0)</f>
      </c>
      <c r="F308" s="9">
        <f>IF(C308&gt;0,IFERROR(E308/C308,""),"")</f>
      </c>
      <c r="G308" s="5"/>
    </row>
    <row r="309" spans="1:7" x14ac:dyDescent="0.25">
      <c r="A309" s="7"/>
      <c r="B309" s="7"/>
      <c r="C309" s="7"/>
      <c r="D309" s="7"/>
      <c r="E309" s="10">
        <f>IFERROR(SUMIFS(Composicao_Preparos!H:H,Composicao_Preparos!A:A,A309),0)</f>
      </c>
      <c r="F309" s="9">
        <f>IF(C309&gt;0,IFERROR(E309/C309,""),"")</f>
      </c>
      <c r="G309" s="5"/>
    </row>
    <row r="310" spans="1:7" x14ac:dyDescent="0.25">
      <c r="A310" s="7"/>
      <c r="B310" s="7"/>
      <c r="C310" s="7"/>
      <c r="D310" s="7"/>
      <c r="E310" s="10">
        <f>IFERROR(SUMIFS(Composicao_Preparos!H:H,Composicao_Preparos!A:A,A310),0)</f>
      </c>
      <c r="F310" s="9">
        <f>IF(C310&gt;0,IFERROR(E310/C310,""),"")</f>
      </c>
      <c r="G310" s="5"/>
    </row>
    <row r="311" spans="1:7" x14ac:dyDescent="0.25">
      <c r="A311" s="7"/>
      <c r="B311" s="7"/>
      <c r="C311" s="7"/>
      <c r="D311" s="7"/>
      <c r="E311" s="10">
        <f>IFERROR(SUMIFS(Composicao_Preparos!H:H,Composicao_Preparos!A:A,A311),0)</f>
      </c>
      <c r="F311" s="9">
        <f>IF(C311&gt;0,IFERROR(E311/C311,""),"")</f>
      </c>
      <c r="G311" s="5"/>
    </row>
    <row r="312" spans="1:7" x14ac:dyDescent="0.25">
      <c r="A312" s="7"/>
      <c r="B312" s="7"/>
      <c r="C312" s="7"/>
      <c r="D312" s="7"/>
      <c r="E312" s="10">
        <f>IFERROR(SUMIFS(Composicao_Preparos!H:H,Composicao_Preparos!A:A,A312),0)</f>
      </c>
      <c r="F312" s="9">
        <f>IF(C312&gt;0,IFERROR(E312/C312,""),"")</f>
      </c>
      <c r="G312" s="5"/>
    </row>
    <row r="313" spans="1:7" x14ac:dyDescent="0.25">
      <c r="A313" s="7"/>
      <c r="B313" s="7"/>
      <c r="C313" s="7"/>
      <c r="D313" s="7"/>
      <c r="E313" s="10">
        <f>IFERROR(SUMIFS(Composicao_Preparos!H:H,Composicao_Preparos!A:A,A313),0)</f>
      </c>
      <c r="F313" s="9">
        <f>IF(C313&gt;0,IFERROR(E313/C313,""),"")</f>
      </c>
      <c r="G313" s="5"/>
    </row>
    <row r="314" spans="1:7" x14ac:dyDescent="0.25">
      <c r="A314" s="7"/>
      <c r="B314" s="7"/>
      <c r="C314" s="7"/>
      <c r="D314" s="7"/>
      <c r="E314" s="10">
        <f>IFERROR(SUMIFS(Composicao_Preparos!H:H,Composicao_Preparos!A:A,A314),0)</f>
      </c>
      <c r="F314" s="9">
        <f>IF(C314&gt;0,IFERROR(E314/C314,""),"")</f>
      </c>
      <c r="G314" s="5"/>
    </row>
    <row r="315" spans="1:7" x14ac:dyDescent="0.25">
      <c r="A315" s="7"/>
      <c r="B315" s="7"/>
      <c r="C315" s="7"/>
      <c r="D315" s="7"/>
      <c r="E315" s="10">
        <f>IFERROR(SUMIFS(Composicao_Preparos!H:H,Composicao_Preparos!A:A,A315),0)</f>
      </c>
      <c r="F315" s="9">
        <f>IF(C315&gt;0,IFERROR(E315/C315,""),"")</f>
      </c>
      <c r="G315" s="5"/>
    </row>
    <row r="316" spans="1:7" x14ac:dyDescent="0.25">
      <c r="A316" s="7"/>
      <c r="B316" s="7"/>
      <c r="C316" s="7"/>
      <c r="D316" s="7"/>
      <c r="E316" s="10">
        <f>IFERROR(SUMIFS(Composicao_Preparos!H:H,Composicao_Preparos!A:A,A316),0)</f>
      </c>
      <c r="F316" s="9">
        <f>IF(C316&gt;0,IFERROR(E316/C316,""),"")</f>
      </c>
      <c r="G316" s="5"/>
    </row>
    <row r="317" spans="1:7" x14ac:dyDescent="0.25">
      <c r="A317" s="7"/>
      <c r="B317" s="7"/>
      <c r="C317" s="7"/>
      <c r="D317" s="7"/>
      <c r="E317" s="10">
        <f>IFERROR(SUMIFS(Composicao_Preparos!H:H,Composicao_Preparos!A:A,A317),0)</f>
      </c>
      <c r="F317" s="9">
        <f>IF(C317&gt;0,IFERROR(E317/C317,""),"")</f>
      </c>
      <c r="G317" s="5"/>
    </row>
    <row r="318" spans="1:7" x14ac:dyDescent="0.25">
      <c r="A318" s="7"/>
      <c r="B318" s="7"/>
      <c r="C318" s="7"/>
      <c r="D318" s="7"/>
      <c r="E318" s="10">
        <f>IFERROR(SUMIFS(Composicao_Preparos!H:H,Composicao_Preparos!A:A,A318),0)</f>
      </c>
      <c r="F318" s="9">
        <f>IF(C318&gt;0,IFERROR(E318/C318,""),"")</f>
      </c>
      <c r="G318" s="5"/>
    </row>
    <row r="319" spans="1:7" x14ac:dyDescent="0.25">
      <c r="A319" s="7"/>
      <c r="B319" s="7"/>
      <c r="C319" s="7"/>
      <c r="D319" s="7"/>
      <c r="E319" s="10">
        <f>IFERROR(SUMIFS(Composicao_Preparos!H:H,Composicao_Preparos!A:A,A319),0)</f>
      </c>
      <c r="F319" s="9">
        <f>IF(C319&gt;0,IFERROR(E319/C319,""),"")</f>
      </c>
      <c r="G319" s="5"/>
    </row>
    <row r="320" spans="1:7" x14ac:dyDescent="0.25">
      <c r="A320" s="7"/>
      <c r="B320" s="7"/>
      <c r="C320" s="7"/>
      <c r="D320" s="7"/>
      <c r="E320" s="10">
        <f>IFERROR(SUMIFS(Composicao_Preparos!H:H,Composicao_Preparos!A:A,A320),0)</f>
      </c>
      <c r="F320" s="9">
        <f>IF(C320&gt;0,IFERROR(E320/C320,""),"")</f>
      </c>
      <c r="G320" s="5"/>
    </row>
    <row r="321" spans="1:7" x14ac:dyDescent="0.25">
      <c r="A321" s="7"/>
      <c r="B321" s="7"/>
      <c r="C321" s="7"/>
      <c r="D321" s="7"/>
      <c r="E321" s="10">
        <f>IFERROR(SUMIFS(Composicao_Preparos!H:H,Composicao_Preparos!A:A,A321),0)</f>
      </c>
      <c r="F321" s="9">
        <f>IF(C321&gt;0,IFERROR(E321/C321,""),"")</f>
      </c>
      <c r="G321" s="5"/>
    </row>
    <row r="322" spans="1:7" x14ac:dyDescent="0.25">
      <c r="A322" s="7"/>
      <c r="B322" s="7"/>
      <c r="C322" s="7"/>
      <c r="D322" s="7"/>
      <c r="E322" s="10">
        <f>IFERROR(SUMIFS(Composicao_Preparos!H:H,Composicao_Preparos!A:A,A322),0)</f>
      </c>
      <c r="F322" s="9">
        <f>IF(C322&gt;0,IFERROR(E322/C322,""),"")</f>
      </c>
      <c r="G322" s="5"/>
    </row>
    <row r="323" spans="1:7" x14ac:dyDescent="0.25">
      <c r="A323" s="7"/>
      <c r="B323" s="7"/>
      <c r="C323" s="7"/>
      <c r="D323" s="7"/>
      <c r="E323" s="10">
        <f>IFERROR(SUMIFS(Composicao_Preparos!H:H,Composicao_Preparos!A:A,A323),0)</f>
      </c>
      <c r="F323" s="9">
        <f>IF(C323&gt;0,IFERROR(E323/C323,""),"")</f>
      </c>
      <c r="G323" s="5"/>
    </row>
    <row r="324" spans="1:7" x14ac:dyDescent="0.25">
      <c r="A324" s="7"/>
      <c r="B324" s="7"/>
      <c r="C324" s="7"/>
      <c r="D324" s="7"/>
      <c r="E324" s="10">
        <f>IFERROR(SUMIFS(Composicao_Preparos!H:H,Composicao_Preparos!A:A,A324),0)</f>
      </c>
      <c r="F324" s="9">
        <f>IF(C324&gt;0,IFERROR(E324/C324,""),"")</f>
      </c>
      <c r="G324" s="5"/>
    </row>
    <row r="325" spans="1:7" x14ac:dyDescent="0.25">
      <c r="A325" s="7"/>
      <c r="B325" s="7"/>
      <c r="C325" s="7"/>
      <c r="D325" s="7"/>
      <c r="E325" s="10">
        <f>IFERROR(SUMIFS(Composicao_Preparos!H:H,Composicao_Preparos!A:A,A325),0)</f>
      </c>
      <c r="F325" s="9">
        <f>IF(C325&gt;0,IFERROR(E325/C325,""),"")</f>
      </c>
      <c r="G325" s="5"/>
    </row>
    <row r="326" spans="1:7" x14ac:dyDescent="0.25">
      <c r="A326" s="7"/>
      <c r="B326" s="7"/>
      <c r="C326" s="7"/>
      <c r="D326" s="7"/>
      <c r="E326" s="10">
        <f>IFERROR(SUMIFS(Composicao_Preparos!H:H,Composicao_Preparos!A:A,A326),0)</f>
      </c>
      <c r="F326" s="9">
        <f>IF(C326&gt;0,IFERROR(E326/C326,""),"")</f>
      </c>
      <c r="G326" s="5"/>
    </row>
    <row r="327" spans="1:7" x14ac:dyDescent="0.25">
      <c r="A327" s="7"/>
      <c r="B327" s="7"/>
      <c r="C327" s="7"/>
      <c r="D327" s="7"/>
      <c r="E327" s="10">
        <f>IFERROR(SUMIFS(Composicao_Preparos!H:H,Composicao_Preparos!A:A,A327),0)</f>
      </c>
      <c r="F327" s="9">
        <f>IF(C327&gt;0,IFERROR(E327/C327,""),"")</f>
      </c>
      <c r="G327" s="5"/>
    </row>
    <row r="328" spans="1:7" x14ac:dyDescent="0.25">
      <c r="A328" s="7"/>
      <c r="B328" s="7"/>
      <c r="C328" s="7"/>
      <c r="D328" s="7"/>
      <c r="E328" s="10">
        <f>IFERROR(SUMIFS(Composicao_Preparos!H:H,Composicao_Preparos!A:A,A328),0)</f>
      </c>
      <c r="F328" s="9">
        <f>IF(C328&gt;0,IFERROR(E328/C328,""),"")</f>
      </c>
      <c r="G328" s="5"/>
    </row>
    <row r="329" spans="1:7" x14ac:dyDescent="0.25">
      <c r="A329" s="7"/>
      <c r="B329" s="7"/>
      <c r="C329" s="7"/>
      <c r="D329" s="7"/>
      <c r="E329" s="10">
        <f>IFERROR(SUMIFS(Composicao_Preparos!H:H,Composicao_Preparos!A:A,A329),0)</f>
      </c>
      <c r="F329" s="9">
        <f>IF(C329&gt;0,IFERROR(E329/C329,""),"")</f>
      </c>
      <c r="G329" s="5"/>
    </row>
    <row r="330" spans="1:7" x14ac:dyDescent="0.25">
      <c r="A330" s="7"/>
      <c r="B330" s="7"/>
      <c r="C330" s="7"/>
      <c r="D330" s="7"/>
      <c r="E330" s="10">
        <f>IFERROR(SUMIFS(Composicao_Preparos!H:H,Composicao_Preparos!A:A,A330),0)</f>
      </c>
      <c r="F330" s="9">
        <f>IF(C330&gt;0,IFERROR(E330/C330,""),"")</f>
      </c>
      <c r="G330" s="5"/>
    </row>
    <row r="331" spans="1:7" x14ac:dyDescent="0.25">
      <c r="A331" s="7"/>
      <c r="B331" s="7"/>
      <c r="C331" s="7"/>
      <c r="D331" s="7"/>
      <c r="E331" s="10">
        <f>IFERROR(SUMIFS(Composicao_Preparos!H:H,Composicao_Preparos!A:A,A331),0)</f>
      </c>
      <c r="F331" s="9">
        <f>IF(C331&gt;0,IFERROR(E331/C331,""),"")</f>
      </c>
      <c r="G331" s="5"/>
    </row>
    <row r="332" spans="1:7" x14ac:dyDescent="0.25">
      <c r="A332" s="7"/>
      <c r="B332" s="7"/>
      <c r="C332" s="7"/>
      <c r="D332" s="7"/>
      <c r="E332" s="10">
        <f>IFERROR(SUMIFS(Composicao_Preparos!H:H,Composicao_Preparos!A:A,A332),0)</f>
      </c>
      <c r="F332" s="9">
        <f>IF(C332&gt;0,IFERROR(E332/C332,""),"")</f>
      </c>
      <c r="G332" s="5"/>
    </row>
    <row r="333" spans="1:7" x14ac:dyDescent="0.25">
      <c r="A333" s="7"/>
      <c r="B333" s="7"/>
      <c r="C333" s="7"/>
      <c r="D333" s="7"/>
      <c r="E333" s="10">
        <f>IFERROR(SUMIFS(Composicao_Preparos!H:H,Composicao_Preparos!A:A,A333),0)</f>
      </c>
      <c r="F333" s="9">
        <f>IF(C333&gt;0,IFERROR(E333/C333,""),"")</f>
      </c>
      <c r="G333" s="5"/>
    </row>
    <row r="334" spans="1:7" x14ac:dyDescent="0.25">
      <c r="A334" s="7"/>
      <c r="B334" s="7"/>
      <c r="C334" s="7"/>
      <c r="D334" s="7"/>
      <c r="E334" s="10">
        <f>IFERROR(SUMIFS(Composicao_Preparos!H:H,Composicao_Preparos!A:A,A334),0)</f>
      </c>
      <c r="F334" s="9">
        <f>IF(C334&gt;0,IFERROR(E334/C334,""),"")</f>
      </c>
      <c r="G334" s="5"/>
    </row>
    <row r="335" spans="1:7" x14ac:dyDescent="0.25">
      <c r="A335" s="7"/>
      <c r="B335" s="7"/>
      <c r="C335" s="7"/>
      <c r="D335" s="7"/>
      <c r="E335" s="10">
        <f>IFERROR(SUMIFS(Composicao_Preparos!H:H,Composicao_Preparos!A:A,A335),0)</f>
      </c>
      <c r="F335" s="9">
        <f>IF(C335&gt;0,IFERROR(E335/C335,""),"")</f>
      </c>
      <c r="G335" s="5"/>
    </row>
    <row r="336" spans="1:7" x14ac:dyDescent="0.25">
      <c r="A336" s="7"/>
      <c r="B336" s="7"/>
      <c r="C336" s="7"/>
      <c r="D336" s="7"/>
      <c r="E336" s="10">
        <f>IFERROR(SUMIFS(Composicao_Preparos!H:H,Composicao_Preparos!A:A,A336),0)</f>
      </c>
      <c r="F336" s="9">
        <f>IF(C336&gt;0,IFERROR(E336/C336,""),"")</f>
      </c>
      <c r="G336" s="5"/>
    </row>
    <row r="337" spans="1:7" x14ac:dyDescent="0.25">
      <c r="A337" s="7"/>
      <c r="B337" s="7"/>
      <c r="C337" s="7"/>
      <c r="D337" s="7"/>
      <c r="E337" s="10">
        <f>IFERROR(SUMIFS(Composicao_Preparos!H:H,Composicao_Preparos!A:A,A337),0)</f>
      </c>
      <c r="F337" s="9">
        <f>IF(C337&gt;0,IFERROR(E337/C337,""),"")</f>
      </c>
      <c r="G337" s="5"/>
    </row>
    <row r="338" spans="1:7" x14ac:dyDescent="0.25">
      <c r="A338" s="7"/>
      <c r="B338" s="7"/>
      <c r="C338" s="7"/>
      <c r="D338" s="7"/>
      <c r="E338" s="10">
        <f>IFERROR(SUMIFS(Composicao_Preparos!H:H,Composicao_Preparos!A:A,A338),0)</f>
      </c>
      <c r="F338" s="9">
        <f>IF(C338&gt;0,IFERROR(E338/C338,""),"")</f>
      </c>
      <c r="G338" s="5"/>
    </row>
    <row r="339" spans="1:7" x14ac:dyDescent="0.25">
      <c r="A339" s="7"/>
      <c r="B339" s="7"/>
      <c r="C339" s="7"/>
      <c r="D339" s="7"/>
      <c r="E339" s="10">
        <f>IFERROR(SUMIFS(Composicao_Preparos!H:H,Composicao_Preparos!A:A,A339),0)</f>
      </c>
      <c r="F339" s="9">
        <f>IF(C339&gt;0,IFERROR(E339/C339,""),"")</f>
      </c>
      <c r="G339" s="5"/>
    </row>
    <row r="340" spans="1:7" x14ac:dyDescent="0.25">
      <c r="A340" s="7"/>
      <c r="B340" s="7"/>
      <c r="C340" s="7"/>
      <c r="D340" s="7"/>
      <c r="E340" s="10">
        <f>IFERROR(SUMIFS(Composicao_Preparos!H:H,Composicao_Preparos!A:A,A340),0)</f>
      </c>
      <c r="F340" s="9">
        <f>IF(C340&gt;0,IFERROR(E340/C340,""),"")</f>
      </c>
      <c r="G340" s="5"/>
    </row>
    <row r="341" spans="1:7" x14ac:dyDescent="0.25">
      <c r="A341" s="7"/>
      <c r="B341" s="7"/>
      <c r="C341" s="7"/>
      <c r="D341" s="7"/>
      <c r="E341" s="10">
        <f>IFERROR(SUMIFS(Composicao_Preparos!H:H,Composicao_Preparos!A:A,A341),0)</f>
      </c>
      <c r="F341" s="9">
        <f>IF(C341&gt;0,IFERROR(E341/C341,""),"")</f>
      </c>
      <c r="G341" s="5"/>
    </row>
    <row r="342" spans="1:7" x14ac:dyDescent="0.25">
      <c r="A342" s="7"/>
      <c r="B342" s="7"/>
      <c r="C342" s="7"/>
      <c r="D342" s="7"/>
      <c r="E342" s="10">
        <f>IFERROR(SUMIFS(Composicao_Preparos!H:H,Composicao_Preparos!A:A,A342),0)</f>
      </c>
      <c r="F342" s="9">
        <f>IF(C342&gt;0,IFERROR(E342/C342,""),"")</f>
      </c>
      <c r="G342" s="5"/>
    </row>
    <row r="343" spans="1:7" x14ac:dyDescent="0.25">
      <c r="A343" s="7"/>
      <c r="B343" s="7"/>
      <c r="C343" s="7"/>
      <c r="D343" s="7"/>
      <c r="E343" s="10">
        <f>IFERROR(SUMIFS(Composicao_Preparos!H:H,Composicao_Preparos!A:A,A343),0)</f>
      </c>
      <c r="F343" s="9">
        <f>IF(C343&gt;0,IFERROR(E343/C343,""),"")</f>
      </c>
      <c r="G343" s="5"/>
    </row>
    <row r="344" spans="1:7" x14ac:dyDescent="0.25">
      <c r="A344" s="7"/>
      <c r="B344" s="7"/>
      <c r="C344" s="7"/>
      <c r="D344" s="7"/>
      <c r="E344" s="10">
        <f>IFERROR(SUMIFS(Composicao_Preparos!H:H,Composicao_Preparos!A:A,A344),0)</f>
      </c>
      <c r="F344" s="9">
        <f>IF(C344&gt;0,IFERROR(E344/C344,""),"")</f>
      </c>
      <c r="G344" s="5"/>
    </row>
    <row r="345" spans="1:7" x14ac:dyDescent="0.25">
      <c r="A345" s="7"/>
      <c r="B345" s="7"/>
      <c r="C345" s="7"/>
      <c r="D345" s="7"/>
      <c r="E345" s="10">
        <f>IFERROR(SUMIFS(Composicao_Preparos!H:H,Composicao_Preparos!A:A,A345),0)</f>
      </c>
      <c r="F345" s="9">
        <f>IF(C345&gt;0,IFERROR(E345/C345,""),"")</f>
      </c>
      <c r="G345" s="5"/>
    </row>
    <row r="346" spans="1:7" x14ac:dyDescent="0.25">
      <c r="A346" s="7"/>
      <c r="B346" s="7"/>
      <c r="C346" s="7"/>
      <c r="D346" s="7"/>
      <c r="E346" s="10">
        <f>IFERROR(SUMIFS(Composicao_Preparos!H:H,Composicao_Preparos!A:A,A346),0)</f>
      </c>
      <c r="F346" s="9">
        <f>IF(C346&gt;0,IFERROR(E346/C346,""),"")</f>
      </c>
      <c r="G346" s="5"/>
    </row>
    <row r="347" spans="1:7" x14ac:dyDescent="0.25">
      <c r="A347" s="7"/>
      <c r="B347" s="7"/>
      <c r="C347" s="7"/>
      <c r="D347" s="7"/>
      <c r="E347" s="10">
        <f>IFERROR(SUMIFS(Composicao_Preparos!H:H,Composicao_Preparos!A:A,A347),0)</f>
      </c>
      <c r="F347" s="9">
        <f>IF(C347&gt;0,IFERROR(E347/C347,""),"")</f>
      </c>
      <c r="G347" s="5"/>
    </row>
    <row r="348" spans="1:7" x14ac:dyDescent="0.25">
      <c r="A348" s="7"/>
      <c r="B348" s="7"/>
      <c r="C348" s="7"/>
      <c r="D348" s="7"/>
      <c r="E348" s="10">
        <f>IFERROR(SUMIFS(Composicao_Preparos!H:H,Composicao_Preparos!A:A,A348),0)</f>
      </c>
      <c r="F348" s="9">
        <f>IF(C348&gt;0,IFERROR(E348/C348,""),"")</f>
      </c>
      <c r="G348" s="5"/>
    </row>
    <row r="349" spans="1:7" x14ac:dyDescent="0.25">
      <c r="A349" s="7"/>
      <c r="B349" s="7"/>
      <c r="C349" s="7"/>
      <c r="D349" s="7"/>
      <c r="E349" s="10">
        <f>IFERROR(SUMIFS(Composicao_Preparos!H:H,Composicao_Preparos!A:A,A349),0)</f>
      </c>
      <c r="F349" s="9">
        <f>IF(C349&gt;0,IFERROR(E349/C349,""),"")</f>
      </c>
      <c r="G349" s="5"/>
    </row>
    <row r="350" spans="1:7" x14ac:dyDescent="0.25">
      <c r="A350" s="7"/>
      <c r="B350" s="7"/>
      <c r="C350" s="7"/>
      <c r="D350" s="7"/>
      <c r="E350" s="10">
        <f>IFERROR(SUMIFS(Composicao_Preparos!H:H,Composicao_Preparos!A:A,A350),0)</f>
      </c>
      <c r="F350" s="9">
        <f>IF(C350&gt;0,IFERROR(E350/C350,""),"")</f>
      </c>
      <c r="G350" s="5"/>
    </row>
    <row r="351" spans="1:7" x14ac:dyDescent="0.25">
      <c r="A351" s="7"/>
      <c r="B351" s="7"/>
      <c r="C351" s="7"/>
      <c r="D351" s="7"/>
      <c r="E351" s="10">
        <f>IFERROR(SUMIFS(Composicao_Preparos!H:H,Composicao_Preparos!A:A,A351),0)</f>
      </c>
      <c r="F351" s="9">
        <f>IF(C351&gt;0,IFERROR(E351/C351,""),"")</f>
      </c>
      <c r="G351" s="5"/>
    </row>
    <row r="352" spans="1:7" x14ac:dyDescent="0.25">
      <c r="A352" s="7"/>
      <c r="B352" s="7"/>
      <c r="C352" s="7"/>
      <c r="D352" s="7"/>
      <c r="E352" s="10">
        <f>IFERROR(SUMIFS(Composicao_Preparos!H:H,Composicao_Preparos!A:A,A352),0)</f>
      </c>
      <c r="F352" s="9">
        <f>IF(C352&gt;0,IFERROR(E352/C352,""),"")</f>
      </c>
      <c r="G352" s="5"/>
    </row>
    <row r="353" spans="1:7" x14ac:dyDescent="0.25">
      <c r="A353" s="7"/>
      <c r="B353" s="7"/>
      <c r="C353" s="7"/>
      <c r="D353" s="7"/>
      <c r="E353" s="10">
        <f>IFERROR(SUMIFS(Composicao_Preparos!H:H,Composicao_Preparos!A:A,A353),0)</f>
      </c>
      <c r="F353" s="9">
        <f>IF(C353&gt;0,IFERROR(E353/C353,""),"")</f>
      </c>
      <c r="G353" s="5"/>
    </row>
    <row r="354" spans="1:7" x14ac:dyDescent="0.25">
      <c r="A354" s="7"/>
      <c r="B354" s="7"/>
      <c r="C354" s="7"/>
      <c r="D354" s="7"/>
      <c r="E354" s="10">
        <f>IFERROR(SUMIFS(Composicao_Preparos!H:H,Composicao_Preparos!A:A,A354),0)</f>
      </c>
      <c r="F354" s="9">
        <f>IF(C354&gt;0,IFERROR(E354/C354,""),"")</f>
      </c>
      <c r="G354" s="5"/>
    </row>
    <row r="355" spans="1:7" x14ac:dyDescent="0.25">
      <c r="A355" s="7"/>
      <c r="B355" s="7"/>
      <c r="C355" s="7"/>
      <c r="D355" s="7"/>
      <c r="E355" s="10">
        <f>IFERROR(SUMIFS(Composicao_Preparos!H:H,Composicao_Preparos!A:A,A355),0)</f>
      </c>
      <c r="F355" s="9">
        <f>IF(C355&gt;0,IFERROR(E355/C355,""),"")</f>
      </c>
      <c r="G355" s="5"/>
    </row>
    <row r="356" spans="1:7" x14ac:dyDescent="0.25">
      <c r="A356" s="7"/>
      <c r="B356" s="7"/>
      <c r="C356" s="7"/>
      <c r="D356" s="7"/>
      <c r="E356" s="10">
        <f>IFERROR(SUMIFS(Composicao_Preparos!H:H,Composicao_Preparos!A:A,A356),0)</f>
      </c>
      <c r="F356" s="9">
        <f>IF(C356&gt;0,IFERROR(E356/C356,""),"")</f>
      </c>
      <c r="G356" s="5"/>
    </row>
    <row r="357" spans="1:7" x14ac:dyDescent="0.25">
      <c r="A357" s="7"/>
      <c r="B357" s="7"/>
      <c r="C357" s="7"/>
      <c r="D357" s="7"/>
      <c r="E357" s="10">
        <f>IFERROR(SUMIFS(Composicao_Preparos!H:H,Composicao_Preparos!A:A,A357),0)</f>
      </c>
      <c r="F357" s="9">
        <f>IF(C357&gt;0,IFERROR(E357/C357,""),"")</f>
      </c>
      <c r="G357" s="5"/>
    </row>
    <row r="358" spans="1:7" x14ac:dyDescent="0.25">
      <c r="A358" s="7"/>
      <c r="B358" s="7"/>
      <c r="C358" s="7"/>
      <c r="D358" s="7"/>
      <c r="E358" s="10">
        <f>IFERROR(SUMIFS(Composicao_Preparos!H:H,Composicao_Preparos!A:A,A358),0)</f>
      </c>
      <c r="F358" s="9">
        <f>IF(C358&gt;0,IFERROR(E358/C358,""),"")</f>
      </c>
      <c r="G358" s="5"/>
    </row>
    <row r="359" spans="1:7" x14ac:dyDescent="0.25">
      <c r="A359" s="7"/>
      <c r="B359" s="7"/>
      <c r="C359" s="7"/>
      <c r="D359" s="7"/>
      <c r="E359" s="10">
        <f>IFERROR(SUMIFS(Composicao_Preparos!H:H,Composicao_Preparos!A:A,A359),0)</f>
      </c>
      <c r="F359" s="9">
        <f>IF(C359&gt;0,IFERROR(E359/C359,""),"")</f>
      </c>
      <c r="G359" s="5"/>
    </row>
    <row r="360" spans="1:7" x14ac:dyDescent="0.25">
      <c r="A360" s="7"/>
      <c r="B360" s="7"/>
      <c r="C360" s="7"/>
      <c r="D360" s="7"/>
      <c r="E360" s="10">
        <f>IFERROR(SUMIFS(Composicao_Preparos!H:H,Composicao_Preparos!A:A,A360),0)</f>
      </c>
      <c r="F360" s="9">
        <f>IF(C360&gt;0,IFERROR(E360/C360,""),"")</f>
      </c>
      <c r="G360" s="5"/>
    </row>
    <row r="361" spans="1:7" x14ac:dyDescent="0.25">
      <c r="A361" s="7"/>
      <c r="B361" s="7"/>
      <c r="C361" s="7"/>
      <c r="D361" s="7"/>
      <c r="E361" s="10">
        <f>IFERROR(SUMIFS(Composicao_Preparos!H:H,Composicao_Preparos!A:A,A361),0)</f>
      </c>
      <c r="F361" s="9">
        <f>IF(C361&gt;0,IFERROR(E361/C361,""),"")</f>
      </c>
      <c r="G361" s="5"/>
    </row>
    <row r="362" spans="1:7" x14ac:dyDescent="0.25">
      <c r="A362" s="7"/>
      <c r="B362" s="7"/>
      <c r="C362" s="7"/>
      <c r="D362" s="7"/>
      <c r="E362" s="10">
        <f>IFERROR(SUMIFS(Composicao_Preparos!H:H,Composicao_Preparos!A:A,A362),0)</f>
      </c>
      <c r="F362" s="9">
        <f>IF(C362&gt;0,IFERROR(E362/C362,""),"")</f>
      </c>
      <c r="G362" s="5"/>
    </row>
    <row r="363" spans="1:7" x14ac:dyDescent="0.25">
      <c r="A363" s="7"/>
      <c r="B363" s="7"/>
      <c r="C363" s="7"/>
      <c r="D363" s="7"/>
      <c r="E363" s="10">
        <f>IFERROR(SUMIFS(Composicao_Preparos!H:H,Composicao_Preparos!A:A,A363),0)</f>
      </c>
      <c r="F363" s="9">
        <f>IF(C363&gt;0,IFERROR(E363/C363,""),"")</f>
      </c>
      <c r="G363" s="5"/>
    </row>
    <row r="364" spans="1:7" x14ac:dyDescent="0.25">
      <c r="A364" s="7"/>
      <c r="B364" s="7"/>
      <c r="C364" s="7"/>
      <c r="D364" s="7"/>
      <c r="E364" s="10">
        <f>IFERROR(SUMIFS(Composicao_Preparos!H:H,Composicao_Preparos!A:A,A364),0)</f>
      </c>
      <c r="F364" s="9">
        <f>IF(C364&gt;0,IFERROR(E364/C364,""),"")</f>
      </c>
      <c r="G364" s="5"/>
    </row>
    <row r="365" spans="1:7" x14ac:dyDescent="0.25">
      <c r="A365" s="7"/>
      <c r="B365" s="7"/>
      <c r="C365" s="7"/>
      <c r="D365" s="7"/>
      <c r="E365" s="10">
        <f>IFERROR(SUMIFS(Composicao_Preparos!H:H,Composicao_Preparos!A:A,A365),0)</f>
      </c>
      <c r="F365" s="9">
        <f>IF(C365&gt;0,IFERROR(E365/C365,""),"")</f>
      </c>
      <c r="G365" s="5"/>
    </row>
    <row r="366" spans="1:7" x14ac:dyDescent="0.25">
      <c r="A366" s="7"/>
      <c r="B366" s="7"/>
      <c r="C366" s="7"/>
      <c r="D366" s="7"/>
      <c r="E366" s="10">
        <f>IFERROR(SUMIFS(Composicao_Preparos!H:H,Composicao_Preparos!A:A,A366),0)</f>
      </c>
      <c r="F366" s="9">
        <f>IF(C366&gt;0,IFERROR(E366/C366,""),"")</f>
      </c>
      <c r="G366" s="5"/>
    </row>
    <row r="367" spans="1:7" x14ac:dyDescent="0.25">
      <c r="A367" s="7"/>
      <c r="B367" s="7"/>
      <c r="C367" s="7"/>
      <c r="D367" s="7"/>
      <c r="E367" s="10">
        <f>IFERROR(SUMIFS(Composicao_Preparos!H:H,Composicao_Preparos!A:A,A367),0)</f>
      </c>
      <c r="F367" s="9">
        <f>IF(C367&gt;0,IFERROR(E367/C367,""),"")</f>
      </c>
      <c r="G367" s="5"/>
    </row>
    <row r="368" spans="1:7" x14ac:dyDescent="0.25">
      <c r="A368" s="7"/>
      <c r="B368" s="7"/>
      <c r="C368" s="7"/>
      <c r="D368" s="7"/>
      <c r="E368" s="10">
        <f>IFERROR(SUMIFS(Composicao_Preparos!H:H,Composicao_Preparos!A:A,A368),0)</f>
      </c>
      <c r="F368" s="9">
        <f>IF(C368&gt;0,IFERROR(E368/C368,""),"")</f>
      </c>
      <c r="G368" s="5"/>
    </row>
    <row r="369" spans="1:7" x14ac:dyDescent="0.25">
      <c r="A369" s="7"/>
      <c r="B369" s="7"/>
      <c r="C369" s="7"/>
      <c r="D369" s="7"/>
      <c r="E369" s="10">
        <f>IFERROR(SUMIFS(Composicao_Preparos!H:H,Composicao_Preparos!A:A,A369),0)</f>
      </c>
      <c r="F369" s="9">
        <f>IF(C369&gt;0,IFERROR(E369/C369,""),"")</f>
      </c>
      <c r="G369" s="5"/>
    </row>
    <row r="370" spans="1:7" x14ac:dyDescent="0.25">
      <c r="A370" s="7"/>
      <c r="B370" s="7"/>
      <c r="C370" s="7"/>
      <c r="D370" s="7"/>
      <c r="E370" s="10">
        <f>IFERROR(SUMIFS(Composicao_Preparos!H:H,Composicao_Preparos!A:A,A370),0)</f>
      </c>
      <c r="F370" s="9">
        <f>IF(C370&gt;0,IFERROR(E370/C370,""),"")</f>
      </c>
      <c r="G370" s="5"/>
    </row>
    <row r="371" spans="1:7" x14ac:dyDescent="0.25">
      <c r="A371" s="7"/>
      <c r="B371" s="7"/>
      <c r="C371" s="7"/>
      <c r="D371" s="7"/>
      <c r="E371" s="10">
        <f>IFERROR(SUMIFS(Composicao_Preparos!H:H,Composicao_Preparos!A:A,A371),0)</f>
      </c>
      <c r="F371" s="9">
        <f>IF(C371&gt;0,IFERROR(E371/C371,""),"")</f>
      </c>
      <c r="G371" s="5"/>
    </row>
    <row r="372" spans="1:7" x14ac:dyDescent="0.25">
      <c r="A372" s="7"/>
      <c r="B372" s="7"/>
      <c r="C372" s="7"/>
      <c r="D372" s="7"/>
      <c r="E372" s="10">
        <f>IFERROR(SUMIFS(Composicao_Preparos!H:H,Composicao_Preparos!A:A,A372),0)</f>
      </c>
      <c r="F372" s="9">
        <f>IF(C372&gt;0,IFERROR(E372/C372,""),"")</f>
      </c>
      <c r="G372" s="5"/>
    </row>
    <row r="373" spans="1:7" x14ac:dyDescent="0.25">
      <c r="A373" s="7"/>
      <c r="B373" s="7"/>
      <c r="C373" s="7"/>
      <c r="D373" s="7"/>
      <c r="E373" s="10">
        <f>IFERROR(SUMIFS(Composicao_Preparos!H:H,Composicao_Preparos!A:A,A373),0)</f>
      </c>
      <c r="F373" s="9">
        <f>IF(C373&gt;0,IFERROR(E373/C373,""),"")</f>
      </c>
      <c r="G373" s="5"/>
    </row>
    <row r="374" spans="1:7" x14ac:dyDescent="0.25">
      <c r="A374" s="7"/>
      <c r="B374" s="7"/>
      <c r="C374" s="7"/>
      <c r="D374" s="7"/>
      <c r="E374" s="10">
        <f>IFERROR(SUMIFS(Composicao_Preparos!H:H,Composicao_Preparos!A:A,A374),0)</f>
      </c>
      <c r="F374" s="9">
        <f>IF(C374&gt;0,IFERROR(E374/C374,""),"")</f>
      </c>
      <c r="G374" s="5"/>
    </row>
    <row r="375" spans="1:7" x14ac:dyDescent="0.25">
      <c r="A375" s="7"/>
      <c r="B375" s="7"/>
      <c r="C375" s="7"/>
      <c r="D375" s="7"/>
      <c r="E375" s="10">
        <f>IFERROR(SUMIFS(Composicao_Preparos!H:H,Composicao_Preparos!A:A,A375),0)</f>
      </c>
      <c r="F375" s="9">
        <f>IF(C375&gt;0,IFERROR(E375/C375,""),"")</f>
      </c>
      <c r="G375" s="5"/>
    </row>
    <row r="376" spans="1:7" x14ac:dyDescent="0.25">
      <c r="A376" s="7"/>
      <c r="B376" s="7"/>
      <c r="C376" s="7"/>
      <c r="D376" s="7"/>
      <c r="E376" s="10">
        <f>IFERROR(SUMIFS(Composicao_Preparos!H:H,Composicao_Preparos!A:A,A376),0)</f>
      </c>
      <c r="F376" s="9">
        <f>IF(C376&gt;0,IFERROR(E376/C376,""),"")</f>
      </c>
      <c r="G376" s="5"/>
    </row>
    <row r="377" spans="1:7" x14ac:dyDescent="0.25">
      <c r="A377" s="7"/>
      <c r="B377" s="7"/>
      <c r="C377" s="7"/>
      <c r="D377" s="7"/>
      <c r="E377" s="10">
        <f>IFERROR(SUMIFS(Composicao_Preparos!H:H,Composicao_Preparos!A:A,A377),0)</f>
      </c>
      <c r="F377" s="9">
        <f>IF(C377&gt;0,IFERROR(E377/C377,""),"")</f>
      </c>
      <c r="G377" s="5"/>
    </row>
    <row r="378" spans="1:7" x14ac:dyDescent="0.25">
      <c r="A378" s="7"/>
      <c r="B378" s="7"/>
      <c r="C378" s="7"/>
      <c r="D378" s="7"/>
      <c r="E378" s="10">
        <f>IFERROR(SUMIFS(Composicao_Preparos!H:H,Composicao_Preparos!A:A,A378),0)</f>
      </c>
      <c r="F378" s="9">
        <f>IF(C378&gt;0,IFERROR(E378/C378,""),"")</f>
      </c>
      <c r="G378" s="5"/>
    </row>
    <row r="379" spans="1:7" x14ac:dyDescent="0.25">
      <c r="A379" s="7"/>
      <c r="B379" s="7"/>
      <c r="C379" s="7"/>
      <c r="D379" s="7"/>
      <c r="E379" s="10">
        <f>IFERROR(SUMIFS(Composicao_Preparos!H:H,Composicao_Preparos!A:A,A379),0)</f>
      </c>
      <c r="F379" s="9">
        <f>IF(C379&gt;0,IFERROR(E379/C379,""),"")</f>
      </c>
      <c r="G379" s="5"/>
    </row>
    <row r="380" spans="1:7" x14ac:dyDescent="0.25">
      <c r="A380" s="7"/>
      <c r="B380" s="7"/>
      <c r="C380" s="7"/>
      <c r="D380" s="7"/>
      <c r="E380" s="10">
        <f>IFERROR(SUMIFS(Composicao_Preparos!H:H,Composicao_Preparos!A:A,A380),0)</f>
      </c>
      <c r="F380" s="9">
        <f>IF(C380&gt;0,IFERROR(E380/C380,""),"")</f>
      </c>
      <c r="G380" s="5"/>
    </row>
    <row r="381" spans="1:7" x14ac:dyDescent="0.25">
      <c r="A381" s="7"/>
      <c r="B381" s="7"/>
      <c r="C381" s="7"/>
      <c r="D381" s="7"/>
      <c r="E381" s="10">
        <f>IFERROR(SUMIFS(Composicao_Preparos!H:H,Composicao_Preparos!A:A,A381),0)</f>
      </c>
      <c r="F381" s="9">
        <f>IF(C381&gt;0,IFERROR(E381/C381,""),"")</f>
      </c>
      <c r="G381" s="5"/>
    </row>
    <row r="382" spans="1:7" x14ac:dyDescent="0.25">
      <c r="A382" s="7"/>
      <c r="B382" s="7"/>
      <c r="C382" s="7"/>
      <c r="D382" s="7"/>
      <c r="E382" s="10">
        <f>IFERROR(SUMIFS(Composicao_Preparos!H:H,Composicao_Preparos!A:A,A382),0)</f>
      </c>
      <c r="F382" s="9">
        <f>IF(C382&gt;0,IFERROR(E382/C382,""),"")</f>
      </c>
      <c r="G382" s="5"/>
    </row>
    <row r="383" spans="1:7" x14ac:dyDescent="0.25">
      <c r="A383" s="7"/>
      <c r="B383" s="7"/>
      <c r="C383" s="7"/>
      <c r="D383" s="7"/>
      <c r="E383" s="10">
        <f>IFERROR(SUMIFS(Composicao_Preparos!H:H,Composicao_Preparos!A:A,A383),0)</f>
      </c>
      <c r="F383" s="9">
        <f>IF(C383&gt;0,IFERROR(E383/C383,""),"")</f>
      </c>
      <c r="G383" s="5"/>
    </row>
    <row r="384" spans="1:7" x14ac:dyDescent="0.25">
      <c r="A384" s="7"/>
      <c r="B384" s="7"/>
      <c r="C384" s="7"/>
      <c r="D384" s="7"/>
      <c r="E384" s="10">
        <f>IFERROR(SUMIFS(Composicao_Preparos!H:H,Composicao_Preparos!A:A,A384),0)</f>
      </c>
      <c r="F384" s="9">
        <f>IF(C384&gt;0,IFERROR(E384/C384,""),"")</f>
      </c>
      <c r="G384" s="5"/>
    </row>
    <row r="385" spans="1:7" x14ac:dyDescent="0.25">
      <c r="A385" s="7"/>
      <c r="B385" s="7"/>
      <c r="C385" s="7"/>
      <c r="D385" s="7"/>
      <c r="E385" s="10">
        <f>IFERROR(SUMIFS(Composicao_Preparos!H:H,Composicao_Preparos!A:A,A385),0)</f>
      </c>
      <c r="F385" s="9">
        <f>IF(C385&gt;0,IFERROR(E385/C385,""),"")</f>
      </c>
      <c r="G385" s="5"/>
    </row>
    <row r="386" spans="1:7" x14ac:dyDescent="0.25">
      <c r="A386" s="7"/>
      <c r="B386" s="7"/>
      <c r="C386" s="7"/>
      <c r="D386" s="7"/>
      <c r="E386" s="10">
        <f>IFERROR(SUMIFS(Composicao_Preparos!H:H,Composicao_Preparos!A:A,A386),0)</f>
      </c>
      <c r="F386" s="9">
        <f>IF(C386&gt;0,IFERROR(E386/C386,""),"")</f>
      </c>
      <c r="G386" s="5"/>
    </row>
    <row r="387" spans="1:7" x14ac:dyDescent="0.25">
      <c r="A387" s="7"/>
      <c r="B387" s="7"/>
      <c r="C387" s="7"/>
      <c r="D387" s="7"/>
      <c r="E387" s="10">
        <f>IFERROR(SUMIFS(Composicao_Preparos!H:H,Composicao_Preparos!A:A,A387),0)</f>
      </c>
      <c r="F387" s="9">
        <f>IF(C387&gt;0,IFERROR(E387/C387,""),"")</f>
      </c>
      <c r="G387" s="5"/>
    </row>
    <row r="388" spans="1:7" x14ac:dyDescent="0.25">
      <c r="A388" s="7"/>
      <c r="B388" s="7"/>
      <c r="C388" s="7"/>
      <c r="D388" s="7"/>
      <c r="E388" s="10">
        <f>IFERROR(SUMIFS(Composicao_Preparos!H:H,Composicao_Preparos!A:A,A388),0)</f>
      </c>
      <c r="F388" s="9">
        <f>IF(C388&gt;0,IFERROR(E388/C388,""),"")</f>
      </c>
      <c r="G388" s="5"/>
    </row>
    <row r="389" spans="1:7" x14ac:dyDescent="0.25">
      <c r="A389" s="7"/>
      <c r="B389" s="7"/>
      <c r="C389" s="7"/>
      <c r="D389" s="7"/>
      <c r="E389" s="10">
        <f>IFERROR(SUMIFS(Composicao_Preparos!H:H,Composicao_Preparos!A:A,A389),0)</f>
      </c>
      <c r="F389" s="9">
        <f>IF(C389&gt;0,IFERROR(E389/C389,""),"")</f>
      </c>
      <c r="G389" s="5"/>
    </row>
    <row r="390" spans="1:7" x14ac:dyDescent="0.25">
      <c r="A390" s="7"/>
      <c r="B390" s="7"/>
      <c r="C390" s="7"/>
      <c r="D390" s="7"/>
      <c r="E390" s="10">
        <f>IFERROR(SUMIFS(Composicao_Preparos!H:H,Composicao_Preparos!A:A,A390),0)</f>
      </c>
      <c r="F390" s="9">
        <f>IF(C390&gt;0,IFERROR(E390/C390,""),"")</f>
      </c>
      <c r="G390" s="5"/>
    </row>
    <row r="391" spans="1:7" x14ac:dyDescent="0.25">
      <c r="A391" s="7"/>
      <c r="B391" s="7"/>
      <c r="C391" s="7"/>
      <c r="D391" s="7"/>
      <c r="E391" s="10">
        <f>IFERROR(SUMIFS(Composicao_Preparos!H:H,Composicao_Preparos!A:A,A391),0)</f>
      </c>
      <c r="F391" s="9">
        <f>IF(C391&gt;0,IFERROR(E391/C391,""),"")</f>
      </c>
      <c r="G391" s="5"/>
    </row>
    <row r="392" spans="1:7" x14ac:dyDescent="0.25">
      <c r="A392" s="7"/>
      <c r="B392" s="7"/>
      <c r="C392" s="7"/>
      <c r="D392" s="7"/>
      <c r="E392" s="10">
        <f>IFERROR(SUMIFS(Composicao_Preparos!H:H,Composicao_Preparos!A:A,A392),0)</f>
      </c>
      <c r="F392" s="9">
        <f>IF(C392&gt;0,IFERROR(E392/C392,""),"")</f>
      </c>
      <c r="G392" s="5"/>
    </row>
    <row r="393" spans="1:7" x14ac:dyDescent="0.25">
      <c r="A393" s="7"/>
      <c r="B393" s="7"/>
      <c r="C393" s="7"/>
      <c r="D393" s="7"/>
      <c r="E393" s="10">
        <f>IFERROR(SUMIFS(Composicao_Preparos!H:H,Composicao_Preparos!A:A,A393),0)</f>
      </c>
      <c r="F393" s="9">
        <f>IF(C393&gt;0,IFERROR(E393/C393,""),"")</f>
      </c>
      <c r="G393" s="5"/>
    </row>
    <row r="394" spans="1:7" x14ac:dyDescent="0.25">
      <c r="A394" s="7"/>
      <c r="B394" s="7"/>
      <c r="C394" s="7"/>
      <c r="D394" s="7"/>
      <c r="E394" s="10">
        <f>IFERROR(SUMIFS(Composicao_Preparos!H:H,Composicao_Preparos!A:A,A394),0)</f>
      </c>
      <c r="F394" s="9">
        <f>IF(C394&gt;0,IFERROR(E394/C394,""),"")</f>
      </c>
      <c r="G394" s="5"/>
    </row>
    <row r="395" spans="1:7" x14ac:dyDescent="0.25">
      <c r="A395" s="7"/>
      <c r="B395" s="7"/>
      <c r="C395" s="7"/>
      <c r="D395" s="7"/>
      <c r="E395" s="10">
        <f>IFERROR(SUMIFS(Composicao_Preparos!H:H,Composicao_Preparos!A:A,A395),0)</f>
      </c>
      <c r="F395" s="9">
        <f>IF(C395&gt;0,IFERROR(E395/C395,""),"")</f>
      </c>
      <c r="G395" s="5"/>
    </row>
    <row r="396" spans="1:7" x14ac:dyDescent="0.25">
      <c r="A396" s="7"/>
      <c r="B396" s="7"/>
      <c r="C396" s="7"/>
      <c r="D396" s="7"/>
      <c r="E396" s="10">
        <f>IFERROR(SUMIFS(Composicao_Preparos!H:H,Composicao_Preparos!A:A,A396),0)</f>
      </c>
      <c r="F396" s="9">
        <f>IF(C396&gt;0,IFERROR(E396/C396,""),"")</f>
      </c>
      <c r="G396" s="5"/>
    </row>
    <row r="397" spans="1:7" x14ac:dyDescent="0.25">
      <c r="A397" s="7"/>
      <c r="B397" s="7"/>
      <c r="C397" s="7"/>
      <c r="D397" s="7"/>
      <c r="E397" s="10">
        <f>IFERROR(SUMIFS(Composicao_Preparos!H:H,Composicao_Preparos!A:A,A397),0)</f>
      </c>
      <c r="F397" s="9">
        <f>IF(C397&gt;0,IFERROR(E397/C397,""),"")</f>
      </c>
      <c r="G397" s="5"/>
    </row>
    <row r="398" spans="1:7" x14ac:dyDescent="0.25">
      <c r="A398" s="7"/>
      <c r="B398" s="7"/>
      <c r="C398" s="7"/>
      <c r="D398" s="7"/>
      <c r="E398" s="10">
        <f>IFERROR(SUMIFS(Composicao_Preparos!H:H,Composicao_Preparos!A:A,A398),0)</f>
      </c>
      <c r="F398" s="9">
        <f>IF(C398&gt;0,IFERROR(E398/C398,""),"")</f>
      </c>
      <c r="G398" s="5"/>
    </row>
    <row r="399" spans="1:7" x14ac:dyDescent="0.25">
      <c r="A399" s="7"/>
      <c r="B399" s="7"/>
      <c r="C399" s="7"/>
      <c r="D399" s="7"/>
      <c r="E399" s="10">
        <f>IFERROR(SUMIFS(Composicao_Preparos!H:H,Composicao_Preparos!A:A,A399),0)</f>
      </c>
      <c r="F399" s="9">
        <f>IF(C399&gt;0,IFERROR(E399/C399,""),"")</f>
      </c>
      <c r="G399" s="5"/>
    </row>
    <row r="400" spans="1:7" x14ac:dyDescent="0.25">
      <c r="A400" s="7"/>
      <c r="B400" s="7"/>
      <c r="C400" s="7"/>
      <c r="D400" s="7"/>
      <c r="E400" s="10">
        <f>IFERROR(SUMIFS(Composicao_Preparos!H:H,Composicao_Preparos!A:A,A400),0)</f>
      </c>
      <c r="F400" s="9">
        <f>IF(C400&gt;0,IFERROR(E400/C400,""),"")</f>
      </c>
      <c r="G400" s="5"/>
    </row>
    <row r="401" spans="1:7" x14ac:dyDescent="0.25">
      <c r="A401" s="7"/>
      <c r="B401" s="7"/>
      <c r="C401" s="7"/>
      <c r="D401" s="7"/>
      <c r="E401" s="10">
        <f>IFERROR(SUMIFS(Composicao_Preparos!H:H,Composicao_Preparos!A:A,A401),0)</f>
      </c>
      <c r="F401" s="9">
        <f>IF(C401&gt;0,IFERROR(E401/C401,""),"")</f>
      </c>
      <c r="G401" s="5"/>
    </row>
    <row r="402" spans="1:7" x14ac:dyDescent="0.25">
      <c r="A402" s="7"/>
      <c r="B402" s="7"/>
      <c r="C402" s="7"/>
      <c r="D402" s="7"/>
      <c r="E402" s="10">
        <f>IFERROR(SUMIFS(Composicao_Preparos!H:H,Composicao_Preparos!A:A,A402),0)</f>
      </c>
      <c r="F402" s="9">
        <f>IF(C402&gt;0,IFERROR(E402/C402,""),"")</f>
      </c>
      <c r="G402" s="5"/>
    </row>
    <row r="403" spans="1:7" x14ac:dyDescent="0.25">
      <c r="A403" s="7"/>
      <c r="B403" s="7"/>
      <c r="C403" s="7"/>
      <c r="D403" s="7"/>
      <c r="E403" s="10">
        <f>IFERROR(SUMIFS(Composicao_Preparos!H:H,Composicao_Preparos!A:A,A403),0)</f>
      </c>
      <c r="F403" s="9">
        <f>IF(C403&gt;0,IFERROR(E403/C403,""),"")</f>
      </c>
      <c r="G403" s="5"/>
    </row>
    <row r="404" spans="1:7" x14ac:dyDescent="0.25">
      <c r="A404" s="7"/>
      <c r="B404" s="7"/>
      <c r="C404" s="7"/>
      <c r="D404" s="7"/>
      <c r="E404" s="10">
        <f>IFERROR(SUMIFS(Composicao_Preparos!H:H,Composicao_Preparos!A:A,A404),0)</f>
      </c>
      <c r="F404" s="9">
        <f>IF(C404&gt;0,IFERROR(E404/C404,""),"")</f>
      </c>
      <c r="G404" s="5"/>
    </row>
    <row r="405" spans="1:7" x14ac:dyDescent="0.25">
      <c r="A405" s="7"/>
      <c r="B405" s="7"/>
      <c r="C405" s="7"/>
      <c r="D405" s="7"/>
      <c r="E405" s="10">
        <f>IFERROR(SUMIFS(Composicao_Preparos!H:H,Composicao_Preparos!A:A,A405),0)</f>
      </c>
      <c r="F405" s="9">
        <f>IF(C405&gt;0,IFERROR(E405/C405,""),"")</f>
      </c>
      <c r="G405" s="5"/>
    </row>
    <row r="406" spans="1:7" x14ac:dyDescent="0.25">
      <c r="A406" s="7"/>
      <c r="B406" s="7"/>
      <c r="C406" s="7"/>
      <c r="D406" s="7"/>
      <c r="E406" s="10">
        <f>IFERROR(SUMIFS(Composicao_Preparos!H:H,Composicao_Preparos!A:A,A406),0)</f>
      </c>
      <c r="F406" s="9">
        <f>IF(C406&gt;0,IFERROR(E406/C406,""),"")</f>
      </c>
      <c r="G406" s="5"/>
    </row>
    <row r="407" spans="1:7" x14ac:dyDescent="0.25">
      <c r="A407" s="7"/>
      <c r="B407" s="7"/>
      <c r="C407" s="7"/>
      <c r="D407" s="7"/>
      <c r="E407" s="10">
        <f>IFERROR(SUMIFS(Composicao_Preparos!H:H,Composicao_Preparos!A:A,A407),0)</f>
      </c>
      <c r="F407" s="9">
        <f>IF(C407&gt;0,IFERROR(E407/C407,""),"")</f>
      </c>
      <c r="G407" s="5"/>
    </row>
    <row r="408" spans="1:7" x14ac:dyDescent="0.25">
      <c r="A408" s="7"/>
      <c r="B408" s="7"/>
      <c r="C408" s="7"/>
      <c r="D408" s="7"/>
      <c r="E408" s="10">
        <f>IFERROR(SUMIFS(Composicao_Preparos!H:H,Composicao_Preparos!A:A,A408),0)</f>
      </c>
      <c r="F408" s="9">
        <f>IF(C408&gt;0,IFERROR(E408/C408,""),"")</f>
      </c>
      <c r="G408" s="5"/>
    </row>
    <row r="409" spans="1:7" x14ac:dyDescent="0.25">
      <c r="A409" s="7"/>
      <c r="B409" s="7"/>
      <c r="C409" s="7"/>
      <c r="D409" s="7"/>
      <c r="E409" s="10">
        <f>IFERROR(SUMIFS(Composicao_Preparos!H:H,Composicao_Preparos!A:A,A409),0)</f>
      </c>
      <c r="F409" s="9">
        <f>IF(C409&gt;0,IFERROR(E409/C409,""),"")</f>
      </c>
      <c r="G409" s="5"/>
    </row>
    <row r="410" spans="1:7" x14ac:dyDescent="0.25">
      <c r="A410" s="7"/>
      <c r="B410" s="7"/>
      <c r="C410" s="7"/>
      <c r="D410" s="7"/>
      <c r="E410" s="10">
        <f>IFERROR(SUMIFS(Composicao_Preparos!H:H,Composicao_Preparos!A:A,A410),0)</f>
      </c>
      <c r="F410" s="9">
        <f>IF(C410&gt;0,IFERROR(E410/C410,""),"")</f>
      </c>
      <c r="G410" s="5"/>
    </row>
    <row r="411" spans="1:7" x14ac:dyDescent="0.25">
      <c r="A411" s="7"/>
      <c r="B411" s="7"/>
      <c r="C411" s="7"/>
      <c r="D411" s="7"/>
      <c r="E411" s="10">
        <f>IFERROR(SUMIFS(Composicao_Preparos!H:H,Composicao_Preparos!A:A,A411),0)</f>
      </c>
      <c r="F411" s="9">
        <f>IF(C411&gt;0,IFERROR(E411/C411,""),"")</f>
      </c>
      <c r="G411" s="5"/>
    </row>
    <row r="412" spans="1:7" x14ac:dyDescent="0.25">
      <c r="A412" s="7"/>
      <c r="B412" s="7"/>
      <c r="C412" s="7"/>
      <c r="D412" s="7"/>
      <c r="E412" s="10">
        <f>IFERROR(SUMIFS(Composicao_Preparos!H:H,Composicao_Preparos!A:A,A412),0)</f>
      </c>
      <c r="F412" s="9">
        <f>IF(C412&gt;0,IFERROR(E412/C412,""),"")</f>
      </c>
      <c r="G412" s="5"/>
    </row>
    <row r="413" spans="1:7" x14ac:dyDescent="0.25">
      <c r="A413" s="7"/>
      <c r="B413" s="7"/>
      <c r="C413" s="7"/>
      <c r="D413" s="7"/>
      <c r="E413" s="10">
        <f>IFERROR(SUMIFS(Composicao_Preparos!H:H,Composicao_Preparos!A:A,A413),0)</f>
      </c>
      <c r="F413" s="9">
        <f>IF(C413&gt;0,IFERROR(E413/C413,""),"")</f>
      </c>
      <c r="G413" s="5"/>
    </row>
    <row r="414" spans="1:7" x14ac:dyDescent="0.25">
      <c r="A414" s="7"/>
      <c r="B414" s="7"/>
      <c r="C414" s="7"/>
      <c r="D414" s="7"/>
      <c r="E414" s="10">
        <f>IFERROR(SUMIFS(Composicao_Preparos!H:H,Composicao_Preparos!A:A,A414),0)</f>
      </c>
      <c r="F414" s="9">
        <f>IF(C414&gt;0,IFERROR(E414/C414,""),"")</f>
      </c>
      <c r="G414" s="5"/>
    </row>
    <row r="415" spans="1:7" x14ac:dyDescent="0.25">
      <c r="A415" s="7"/>
      <c r="B415" s="7"/>
      <c r="C415" s="7"/>
      <c r="D415" s="7"/>
      <c r="E415" s="10">
        <f>IFERROR(SUMIFS(Composicao_Preparos!H:H,Composicao_Preparos!A:A,A415),0)</f>
      </c>
      <c r="F415" s="9">
        <f>IF(C415&gt;0,IFERROR(E415/C415,""),"")</f>
      </c>
      <c r="G415" s="5"/>
    </row>
    <row r="416" spans="1:7" x14ac:dyDescent="0.25">
      <c r="A416" s="7"/>
      <c r="B416" s="7"/>
      <c r="C416" s="7"/>
      <c r="D416" s="7"/>
      <c r="E416" s="10">
        <f>IFERROR(SUMIFS(Composicao_Preparos!H:H,Composicao_Preparos!A:A,A416),0)</f>
      </c>
      <c r="F416" s="9">
        <f>IF(C416&gt;0,IFERROR(E416/C416,""),"")</f>
      </c>
      <c r="G416" s="5"/>
    </row>
    <row r="417" spans="1:7" x14ac:dyDescent="0.25">
      <c r="A417" s="7"/>
      <c r="B417" s="7"/>
      <c r="C417" s="7"/>
      <c r="D417" s="7"/>
      <c r="E417" s="10">
        <f>IFERROR(SUMIFS(Composicao_Preparos!H:H,Composicao_Preparos!A:A,A417),0)</f>
      </c>
      <c r="F417" s="9">
        <f>IF(C417&gt;0,IFERROR(E417/C417,""),"")</f>
      </c>
      <c r="G417" s="5"/>
    </row>
    <row r="418" spans="1:7" x14ac:dyDescent="0.25">
      <c r="A418" s="7"/>
      <c r="B418" s="7"/>
      <c r="C418" s="7"/>
      <c r="D418" s="7"/>
      <c r="E418" s="10">
        <f>IFERROR(SUMIFS(Composicao_Preparos!H:H,Composicao_Preparos!A:A,A418),0)</f>
      </c>
      <c r="F418" s="9">
        <f>IF(C418&gt;0,IFERROR(E418/C418,""),"")</f>
      </c>
      <c r="G418" s="5"/>
    </row>
    <row r="419" spans="1:7" x14ac:dyDescent="0.25">
      <c r="A419" s="7"/>
      <c r="B419" s="7"/>
      <c r="C419" s="7"/>
      <c r="D419" s="7"/>
      <c r="E419" s="10">
        <f>IFERROR(SUMIFS(Composicao_Preparos!H:H,Composicao_Preparos!A:A,A419),0)</f>
      </c>
      <c r="F419" s="9">
        <f>IF(C419&gt;0,IFERROR(E419/C419,""),"")</f>
      </c>
      <c r="G419" s="5"/>
    </row>
    <row r="420" spans="1:7" x14ac:dyDescent="0.25">
      <c r="A420" s="7"/>
      <c r="B420" s="7"/>
      <c r="C420" s="7"/>
      <c r="D420" s="7"/>
      <c r="E420" s="10">
        <f>IFERROR(SUMIFS(Composicao_Preparos!H:H,Composicao_Preparos!A:A,A420),0)</f>
      </c>
      <c r="F420" s="9">
        <f>IF(C420&gt;0,IFERROR(E420/C420,""),"")</f>
      </c>
      <c r="G420" s="5"/>
    </row>
    <row r="421" spans="1:7" x14ac:dyDescent="0.25">
      <c r="A421" s="7"/>
      <c r="B421" s="7"/>
      <c r="C421" s="7"/>
      <c r="D421" s="7"/>
      <c r="E421" s="10">
        <f>IFERROR(SUMIFS(Composicao_Preparos!H:H,Composicao_Preparos!A:A,A421),0)</f>
      </c>
      <c r="F421" s="9">
        <f>IF(C421&gt;0,IFERROR(E421/C421,""),"")</f>
      </c>
      <c r="G421" s="5"/>
    </row>
    <row r="422" spans="1:7" x14ac:dyDescent="0.25">
      <c r="A422" s="7"/>
      <c r="B422" s="7"/>
      <c r="C422" s="7"/>
      <c r="D422" s="7"/>
      <c r="E422" s="10">
        <f>IFERROR(SUMIFS(Composicao_Preparos!H:H,Composicao_Preparos!A:A,A422),0)</f>
      </c>
      <c r="F422" s="9">
        <f>IF(C422&gt;0,IFERROR(E422/C422,""),"")</f>
      </c>
      <c r="G422" s="5"/>
    </row>
    <row r="423" spans="1:7" x14ac:dyDescent="0.25">
      <c r="A423" s="7"/>
      <c r="B423" s="7"/>
      <c r="C423" s="7"/>
      <c r="D423" s="7"/>
      <c r="E423" s="10">
        <f>IFERROR(SUMIFS(Composicao_Preparos!H:H,Composicao_Preparos!A:A,A423),0)</f>
      </c>
      <c r="F423" s="9">
        <f>IF(C423&gt;0,IFERROR(E423/C423,""),"")</f>
      </c>
      <c r="G423" s="5"/>
    </row>
    <row r="424" spans="1:7" x14ac:dyDescent="0.25">
      <c r="A424" s="7"/>
      <c r="B424" s="7"/>
      <c r="C424" s="7"/>
      <c r="D424" s="7"/>
      <c r="E424" s="10">
        <f>IFERROR(SUMIFS(Composicao_Preparos!H:H,Composicao_Preparos!A:A,A424),0)</f>
      </c>
      <c r="F424" s="9">
        <f>IF(C424&gt;0,IFERROR(E424/C424,""),"")</f>
      </c>
      <c r="G424" s="5"/>
    </row>
    <row r="425" spans="1:7" x14ac:dyDescent="0.25">
      <c r="A425" s="7"/>
      <c r="B425" s="7"/>
      <c r="C425" s="7"/>
      <c r="D425" s="7"/>
      <c r="E425" s="10">
        <f>IFERROR(SUMIFS(Composicao_Preparos!H:H,Composicao_Preparos!A:A,A425),0)</f>
      </c>
      <c r="F425" s="9">
        <f>IF(C425&gt;0,IFERROR(E425/C425,""),"")</f>
      </c>
      <c r="G425" s="5"/>
    </row>
    <row r="426" spans="1:7" x14ac:dyDescent="0.25">
      <c r="A426" s="7"/>
      <c r="B426" s="7"/>
      <c r="C426" s="7"/>
      <c r="D426" s="7"/>
      <c r="E426" s="10">
        <f>IFERROR(SUMIFS(Composicao_Preparos!H:H,Composicao_Preparos!A:A,A426),0)</f>
      </c>
      <c r="F426" s="9">
        <f>IF(C426&gt;0,IFERROR(E426/C426,""),"")</f>
      </c>
      <c r="G426" s="5"/>
    </row>
    <row r="427" spans="1:7" x14ac:dyDescent="0.25">
      <c r="A427" s="7"/>
      <c r="B427" s="7"/>
      <c r="C427" s="7"/>
      <c r="D427" s="7"/>
      <c r="E427" s="10">
        <f>IFERROR(SUMIFS(Composicao_Preparos!H:H,Composicao_Preparos!A:A,A427),0)</f>
      </c>
      <c r="F427" s="9">
        <f>IF(C427&gt;0,IFERROR(E427/C427,""),"")</f>
      </c>
      <c r="G427" s="5"/>
    </row>
    <row r="428" spans="1:7" x14ac:dyDescent="0.25">
      <c r="A428" s="7"/>
      <c r="B428" s="7"/>
      <c r="C428" s="7"/>
      <c r="D428" s="7"/>
      <c r="E428" s="10">
        <f>IFERROR(SUMIFS(Composicao_Preparos!H:H,Composicao_Preparos!A:A,A428),0)</f>
      </c>
      <c r="F428" s="9">
        <f>IF(C428&gt;0,IFERROR(E428/C428,""),"")</f>
      </c>
      <c r="G428" s="5"/>
    </row>
    <row r="429" spans="1:7" x14ac:dyDescent="0.25">
      <c r="A429" s="7"/>
      <c r="B429" s="7"/>
      <c r="C429" s="7"/>
      <c r="D429" s="7"/>
      <c r="E429" s="10">
        <f>IFERROR(SUMIFS(Composicao_Preparos!H:H,Composicao_Preparos!A:A,A429),0)</f>
      </c>
      <c r="F429" s="9">
        <f>IF(C429&gt;0,IFERROR(E429/C429,""),"")</f>
      </c>
      <c r="G429" s="5"/>
    </row>
    <row r="430" spans="1:7" x14ac:dyDescent="0.25">
      <c r="A430" s="7"/>
      <c r="B430" s="7"/>
      <c r="C430" s="7"/>
      <c r="D430" s="7"/>
      <c r="E430" s="10">
        <f>IFERROR(SUMIFS(Composicao_Preparos!H:H,Composicao_Preparos!A:A,A430),0)</f>
      </c>
      <c r="F430" s="9">
        <f>IF(C430&gt;0,IFERROR(E430/C430,""),"")</f>
      </c>
      <c r="G430" s="5"/>
    </row>
    <row r="431" spans="1:7" x14ac:dyDescent="0.25">
      <c r="A431" s="7"/>
      <c r="B431" s="7"/>
      <c r="C431" s="7"/>
      <c r="D431" s="7"/>
      <c r="E431" s="10">
        <f>IFERROR(SUMIFS(Composicao_Preparos!H:H,Composicao_Preparos!A:A,A431),0)</f>
      </c>
      <c r="F431" s="9">
        <f>IF(C431&gt;0,IFERROR(E431/C431,""),"")</f>
      </c>
      <c r="G431" s="5"/>
    </row>
    <row r="432" spans="1:7" x14ac:dyDescent="0.25">
      <c r="A432" s="7"/>
      <c r="B432" s="7"/>
      <c r="C432" s="7"/>
      <c r="D432" s="7"/>
      <c r="E432" s="10">
        <f>IFERROR(SUMIFS(Composicao_Preparos!H:H,Composicao_Preparos!A:A,A432),0)</f>
      </c>
      <c r="F432" s="9">
        <f>IF(C432&gt;0,IFERROR(E432/C432,""),"")</f>
      </c>
      <c r="G432" s="5"/>
    </row>
    <row r="433" spans="1:7" x14ac:dyDescent="0.25">
      <c r="A433" s="7"/>
      <c r="B433" s="7"/>
      <c r="C433" s="7"/>
      <c r="D433" s="7"/>
      <c r="E433" s="10">
        <f>IFERROR(SUMIFS(Composicao_Preparos!H:H,Composicao_Preparos!A:A,A433),0)</f>
      </c>
      <c r="F433" s="9">
        <f>IF(C433&gt;0,IFERROR(E433/C433,""),"")</f>
      </c>
      <c r="G433" s="5"/>
    </row>
    <row r="434" spans="1:7" x14ac:dyDescent="0.25">
      <c r="A434" s="7"/>
      <c r="B434" s="7"/>
      <c r="C434" s="7"/>
      <c r="D434" s="7"/>
      <c r="E434" s="10">
        <f>IFERROR(SUMIFS(Composicao_Preparos!H:H,Composicao_Preparos!A:A,A434),0)</f>
      </c>
      <c r="F434" s="9">
        <f>IF(C434&gt;0,IFERROR(E434/C434,""),"")</f>
      </c>
      <c r="G434" s="5"/>
    </row>
    <row r="435" spans="1:7" x14ac:dyDescent="0.25">
      <c r="A435" s="7"/>
      <c r="B435" s="7"/>
      <c r="C435" s="7"/>
      <c r="D435" s="7"/>
      <c r="E435" s="10">
        <f>IFERROR(SUMIFS(Composicao_Preparos!H:H,Composicao_Preparos!A:A,A435),0)</f>
      </c>
      <c r="F435" s="9">
        <f>IF(C435&gt;0,IFERROR(E435/C435,""),"")</f>
      </c>
      <c r="G435" s="5"/>
    </row>
    <row r="436" spans="1:7" x14ac:dyDescent="0.25">
      <c r="A436" s="7"/>
      <c r="B436" s="7"/>
      <c r="C436" s="7"/>
      <c r="D436" s="7"/>
      <c r="E436" s="10">
        <f>IFERROR(SUMIFS(Composicao_Preparos!H:H,Composicao_Preparos!A:A,A436),0)</f>
      </c>
      <c r="F436" s="9">
        <f>IF(C436&gt;0,IFERROR(E436/C436,""),"")</f>
      </c>
      <c r="G436" s="5"/>
    </row>
    <row r="437" spans="1:7" x14ac:dyDescent="0.25">
      <c r="A437" s="7"/>
      <c r="B437" s="7"/>
      <c r="C437" s="7"/>
      <c r="D437" s="7"/>
      <c r="E437" s="10">
        <f>IFERROR(SUMIFS(Composicao_Preparos!H:H,Composicao_Preparos!A:A,A437),0)</f>
      </c>
      <c r="F437" s="9">
        <f>IF(C437&gt;0,IFERROR(E437/C437,""),"")</f>
      </c>
      <c r="G437" s="5"/>
    </row>
    <row r="438" spans="1:7" x14ac:dyDescent="0.25">
      <c r="A438" s="7"/>
      <c r="B438" s="7"/>
      <c r="C438" s="7"/>
      <c r="D438" s="7"/>
      <c r="E438" s="10">
        <f>IFERROR(SUMIFS(Composicao_Preparos!H:H,Composicao_Preparos!A:A,A438),0)</f>
      </c>
      <c r="F438" s="9">
        <f>IF(C438&gt;0,IFERROR(E438/C438,""),"")</f>
      </c>
      <c r="G438" s="5"/>
    </row>
    <row r="439" spans="1:7" x14ac:dyDescent="0.25">
      <c r="A439" s="7"/>
      <c r="B439" s="7"/>
      <c r="C439" s="7"/>
      <c r="D439" s="7"/>
      <c r="E439" s="10">
        <f>IFERROR(SUMIFS(Composicao_Preparos!H:H,Composicao_Preparos!A:A,A439),0)</f>
      </c>
      <c r="F439" s="9">
        <f>IF(C439&gt;0,IFERROR(E439/C439,""),"")</f>
      </c>
      <c r="G439" s="5"/>
    </row>
    <row r="440" spans="1:7" x14ac:dyDescent="0.25">
      <c r="A440" s="7"/>
      <c r="B440" s="7"/>
      <c r="C440" s="7"/>
      <c r="D440" s="7"/>
      <c r="E440" s="10">
        <f>IFERROR(SUMIFS(Composicao_Preparos!H:H,Composicao_Preparos!A:A,A440),0)</f>
      </c>
      <c r="F440" s="9">
        <f>IF(C440&gt;0,IFERROR(E440/C440,""),"")</f>
      </c>
      <c r="G440" s="5"/>
    </row>
    <row r="441" spans="1:7" x14ac:dyDescent="0.25">
      <c r="A441" s="7"/>
      <c r="B441" s="7"/>
      <c r="C441" s="7"/>
      <c r="D441" s="7"/>
      <c r="E441" s="10">
        <f>IFERROR(SUMIFS(Composicao_Preparos!H:H,Composicao_Preparos!A:A,A441),0)</f>
      </c>
      <c r="F441" s="9">
        <f>IF(C441&gt;0,IFERROR(E441/C441,""),"")</f>
      </c>
      <c r="G441" s="5"/>
    </row>
    <row r="442" spans="1:7" x14ac:dyDescent="0.25">
      <c r="A442" s="7"/>
      <c r="B442" s="7"/>
      <c r="C442" s="7"/>
      <c r="D442" s="7"/>
      <c r="E442" s="10">
        <f>IFERROR(SUMIFS(Composicao_Preparos!H:H,Composicao_Preparos!A:A,A442),0)</f>
      </c>
      <c r="F442" s="9">
        <f>IF(C442&gt;0,IFERROR(E442/C442,""),"")</f>
      </c>
      <c r="G442" s="5"/>
    </row>
    <row r="443" spans="1:7" x14ac:dyDescent="0.25">
      <c r="A443" s="7"/>
      <c r="B443" s="7"/>
      <c r="C443" s="7"/>
      <c r="D443" s="7"/>
      <c r="E443" s="10">
        <f>IFERROR(SUMIFS(Composicao_Preparos!H:H,Composicao_Preparos!A:A,A443),0)</f>
      </c>
      <c r="F443" s="9">
        <f>IF(C443&gt;0,IFERROR(E443/C443,""),"")</f>
      </c>
      <c r="G443" s="5"/>
    </row>
    <row r="444" spans="1:7" x14ac:dyDescent="0.25">
      <c r="A444" s="7"/>
      <c r="B444" s="7"/>
      <c r="C444" s="7"/>
      <c r="D444" s="7"/>
      <c r="E444" s="10">
        <f>IFERROR(SUMIFS(Composicao_Preparos!H:H,Composicao_Preparos!A:A,A444),0)</f>
      </c>
      <c r="F444" s="9">
        <f>IF(C444&gt;0,IFERROR(E444/C444,""),"")</f>
      </c>
      <c r="G444" s="5"/>
    </row>
    <row r="445" spans="1:7" x14ac:dyDescent="0.25">
      <c r="A445" s="7"/>
      <c r="B445" s="7"/>
      <c r="C445" s="7"/>
      <c r="D445" s="7"/>
      <c r="E445" s="10">
        <f>IFERROR(SUMIFS(Composicao_Preparos!H:H,Composicao_Preparos!A:A,A445),0)</f>
      </c>
      <c r="F445" s="9">
        <f>IF(C445&gt;0,IFERROR(E445/C445,""),"")</f>
      </c>
      <c r="G445" s="5"/>
    </row>
    <row r="446" spans="1:7" x14ac:dyDescent="0.25">
      <c r="A446" s="7"/>
      <c r="B446" s="7"/>
      <c r="C446" s="7"/>
      <c r="D446" s="7"/>
      <c r="E446" s="10">
        <f>IFERROR(SUMIFS(Composicao_Preparos!H:H,Composicao_Preparos!A:A,A446),0)</f>
      </c>
      <c r="F446" s="9">
        <f>IF(C446&gt;0,IFERROR(E446/C446,""),"")</f>
      </c>
      <c r="G446" s="5"/>
    </row>
    <row r="447" spans="1:7" x14ac:dyDescent="0.25">
      <c r="A447" s="7"/>
      <c r="B447" s="7"/>
      <c r="C447" s="7"/>
      <c r="D447" s="7"/>
      <c r="E447" s="10">
        <f>IFERROR(SUMIFS(Composicao_Preparos!H:H,Composicao_Preparos!A:A,A447),0)</f>
      </c>
      <c r="F447" s="9">
        <f>IF(C447&gt;0,IFERROR(E447/C447,""),"")</f>
      </c>
      <c r="G447" s="5"/>
    </row>
    <row r="448" spans="1:7" x14ac:dyDescent="0.25">
      <c r="A448" s="7"/>
      <c r="B448" s="7"/>
      <c r="C448" s="7"/>
      <c r="D448" s="7"/>
      <c r="E448" s="10">
        <f>IFERROR(SUMIFS(Composicao_Preparos!H:H,Composicao_Preparos!A:A,A448),0)</f>
      </c>
      <c r="F448" s="9">
        <f>IF(C448&gt;0,IFERROR(E448/C448,""),"")</f>
      </c>
      <c r="G448" s="5"/>
    </row>
    <row r="449" spans="1:7" x14ac:dyDescent="0.25">
      <c r="A449" s="7"/>
      <c r="B449" s="7"/>
      <c r="C449" s="7"/>
      <c r="D449" s="7"/>
      <c r="E449" s="10">
        <f>IFERROR(SUMIFS(Composicao_Preparos!H:H,Composicao_Preparos!A:A,A449),0)</f>
      </c>
      <c r="F449" s="9">
        <f>IF(C449&gt;0,IFERROR(E449/C449,""),"")</f>
      </c>
      <c r="G449" s="5"/>
    </row>
    <row r="450" spans="1:7" x14ac:dyDescent="0.25">
      <c r="A450" s="7"/>
      <c r="B450" s="7"/>
      <c r="C450" s="7"/>
      <c r="D450" s="7"/>
      <c r="E450" s="10">
        <f>IFERROR(SUMIFS(Composicao_Preparos!H:H,Composicao_Preparos!A:A,A450),0)</f>
      </c>
      <c r="F450" s="9">
        <f>IF(C450&gt;0,IFERROR(E450/C450,""),"")</f>
      </c>
      <c r="G450" s="5"/>
    </row>
    <row r="451" spans="1:7" x14ac:dyDescent="0.25">
      <c r="A451" s="7"/>
      <c r="B451" s="7"/>
      <c r="C451" s="7"/>
      <c r="D451" s="7"/>
      <c r="E451" s="10">
        <f>IFERROR(SUMIFS(Composicao_Preparos!H:H,Composicao_Preparos!A:A,A451),0)</f>
      </c>
      <c r="F451" s="9">
        <f>IF(C451&gt;0,IFERROR(E451/C451,""),"")</f>
      </c>
      <c r="G451" s="5"/>
    </row>
    <row r="452" spans="1:7" x14ac:dyDescent="0.25">
      <c r="A452" s="7"/>
      <c r="B452" s="7"/>
      <c r="C452" s="7"/>
      <c r="D452" s="7"/>
      <c r="E452" s="10">
        <f>IFERROR(SUMIFS(Composicao_Preparos!H:H,Composicao_Preparos!A:A,A452),0)</f>
      </c>
      <c r="F452" s="9">
        <f>IF(C452&gt;0,IFERROR(E452/C452,""),"")</f>
      </c>
      <c r="G452" s="5"/>
    </row>
    <row r="453" spans="1:7" x14ac:dyDescent="0.25">
      <c r="A453" s="7"/>
      <c r="B453" s="7"/>
      <c r="C453" s="7"/>
      <c r="D453" s="7"/>
      <c r="E453" s="10">
        <f>IFERROR(SUMIFS(Composicao_Preparos!H:H,Composicao_Preparos!A:A,A453),0)</f>
      </c>
      <c r="F453" s="9">
        <f>IF(C453&gt;0,IFERROR(E453/C453,""),"")</f>
      </c>
      <c r="G453" s="5"/>
    </row>
    <row r="454" spans="1:7" x14ac:dyDescent="0.25">
      <c r="A454" s="7"/>
      <c r="B454" s="7"/>
      <c r="C454" s="7"/>
      <c r="D454" s="7"/>
      <c r="E454" s="10">
        <f>IFERROR(SUMIFS(Composicao_Preparos!H:H,Composicao_Preparos!A:A,A454),0)</f>
      </c>
      <c r="F454" s="9">
        <f>IF(C454&gt;0,IFERROR(E454/C454,""),"")</f>
      </c>
      <c r="G454" s="5"/>
    </row>
    <row r="455" spans="1:7" x14ac:dyDescent="0.25">
      <c r="A455" s="7"/>
      <c r="B455" s="7"/>
      <c r="C455" s="7"/>
      <c r="D455" s="7"/>
      <c r="E455" s="10">
        <f>IFERROR(SUMIFS(Composicao_Preparos!H:H,Composicao_Preparos!A:A,A455),0)</f>
      </c>
      <c r="F455" s="9">
        <f>IF(C455&gt;0,IFERROR(E455/C455,""),"")</f>
      </c>
      <c r="G455" s="5"/>
    </row>
    <row r="456" spans="1:7" x14ac:dyDescent="0.25">
      <c r="A456" s="7"/>
      <c r="B456" s="7"/>
      <c r="C456" s="7"/>
      <c r="D456" s="7"/>
      <c r="E456" s="10">
        <f>IFERROR(SUMIFS(Composicao_Preparos!H:H,Composicao_Preparos!A:A,A456),0)</f>
      </c>
      <c r="F456" s="9">
        <f>IF(C456&gt;0,IFERROR(E456/C456,""),"")</f>
      </c>
      <c r="G456" s="5"/>
    </row>
    <row r="457" spans="1:7" x14ac:dyDescent="0.25">
      <c r="A457" s="7"/>
      <c r="B457" s="7"/>
      <c r="C457" s="7"/>
      <c r="D457" s="7"/>
      <c r="E457" s="10">
        <f>IFERROR(SUMIFS(Composicao_Preparos!H:H,Composicao_Preparos!A:A,A457),0)</f>
      </c>
      <c r="F457" s="9">
        <f>IF(C457&gt;0,IFERROR(E457/C457,""),"")</f>
      </c>
      <c r="G457" s="5"/>
    </row>
    <row r="458" spans="1:7" x14ac:dyDescent="0.25">
      <c r="A458" s="7"/>
      <c r="B458" s="7"/>
      <c r="C458" s="7"/>
      <c r="D458" s="7"/>
      <c r="E458" s="10">
        <f>IFERROR(SUMIFS(Composicao_Preparos!H:H,Composicao_Preparos!A:A,A458),0)</f>
      </c>
      <c r="F458" s="9">
        <f>IF(C458&gt;0,IFERROR(E458/C458,""),"")</f>
      </c>
      <c r="G458" s="5"/>
    </row>
    <row r="459" spans="1:7" x14ac:dyDescent="0.25">
      <c r="A459" s="7"/>
      <c r="B459" s="7"/>
      <c r="C459" s="7"/>
      <c r="D459" s="7"/>
      <c r="E459" s="10">
        <f>IFERROR(SUMIFS(Composicao_Preparos!H:H,Composicao_Preparos!A:A,A459),0)</f>
      </c>
      <c r="F459" s="9">
        <f>IF(C459&gt;0,IFERROR(E459/C459,""),"")</f>
      </c>
      <c r="G459" s="5"/>
    </row>
    <row r="460" spans="1:7" x14ac:dyDescent="0.25">
      <c r="A460" s="7"/>
      <c r="B460" s="7"/>
      <c r="C460" s="7"/>
      <c r="D460" s="7"/>
      <c r="E460" s="10">
        <f>IFERROR(SUMIFS(Composicao_Preparos!H:H,Composicao_Preparos!A:A,A460),0)</f>
      </c>
      <c r="F460" s="9">
        <f>IF(C460&gt;0,IFERROR(E460/C460,""),"")</f>
      </c>
      <c r="G460" s="5"/>
    </row>
    <row r="461" spans="1:7" x14ac:dyDescent="0.25">
      <c r="A461" s="7"/>
      <c r="B461" s="7"/>
      <c r="C461" s="7"/>
      <c r="D461" s="7"/>
      <c r="E461" s="10">
        <f>IFERROR(SUMIFS(Composicao_Preparos!H:H,Composicao_Preparos!A:A,A461),0)</f>
      </c>
      <c r="F461" s="9">
        <f>IF(C461&gt;0,IFERROR(E461/C461,""),"")</f>
      </c>
      <c r="G461" s="5"/>
    </row>
    <row r="462" spans="1:7" x14ac:dyDescent="0.25">
      <c r="A462" s="7"/>
      <c r="B462" s="7"/>
      <c r="C462" s="7"/>
      <c r="D462" s="7"/>
      <c r="E462" s="10">
        <f>IFERROR(SUMIFS(Composicao_Preparos!H:H,Composicao_Preparos!A:A,A462),0)</f>
      </c>
      <c r="F462" s="9">
        <f>IF(C462&gt;0,IFERROR(E462/C462,""),"")</f>
      </c>
      <c r="G462" s="5"/>
    </row>
    <row r="463" spans="1:7" x14ac:dyDescent="0.25">
      <c r="A463" s="7"/>
      <c r="B463" s="7"/>
      <c r="C463" s="7"/>
      <c r="D463" s="7"/>
      <c r="E463" s="10">
        <f>IFERROR(SUMIFS(Composicao_Preparos!H:H,Composicao_Preparos!A:A,A463),0)</f>
      </c>
      <c r="F463" s="9">
        <f>IF(C463&gt;0,IFERROR(E463/C463,""),"")</f>
      </c>
      <c r="G463" s="5"/>
    </row>
    <row r="464" spans="1:7" x14ac:dyDescent="0.25">
      <c r="A464" s="7"/>
      <c r="B464" s="7"/>
      <c r="C464" s="7"/>
      <c r="D464" s="7"/>
      <c r="E464" s="10">
        <f>IFERROR(SUMIFS(Composicao_Preparos!H:H,Composicao_Preparos!A:A,A464),0)</f>
      </c>
      <c r="F464" s="9">
        <f>IF(C464&gt;0,IFERROR(E464/C464,""),"")</f>
      </c>
      <c r="G464" s="5"/>
    </row>
    <row r="465" spans="1:7" x14ac:dyDescent="0.25">
      <c r="A465" s="7"/>
      <c r="B465" s="7"/>
      <c r="C465" s="7"/>
      <c r="D465" s="7"/>
      <c r="E465" s="10">
        <f>IFERROR(SUMIFS(Composicao_Preparos!H:H,Composicao_Preparos!A:A,A465),0)</f>
      </c>
      <c r="F465" s="9">
        <f>IF(C465&gt;0,IFERROR(E465/C465,""),"")</f>
      </c>
      <c r="G465" s="5"/>
    </row>
    <row r="466" spans="1:7" x14ac:dyDescent="0.25">
      <c r="A466" s="7"/>
      <c r="B466" s="7"/>
      <c r="C466" s="7"/>
      <c r="D466" s="7"/>
      <c r="E466" s="10">
        <f>IFERROR(SUMIFS(Composicao_Preparos!H:H,Composicao_Preparos!A:A,A466),0)</f>
      </c>
      <c r="F466" s="9">
        <f>IF(C466&gt;0,IFERROR(E466/C466,""),"")</f>
      </c>
      <c r="G466" s="5"/>
    </row>
    <row r="467" spans="1:7" x14ac:dyDescent="0.25">
      <c r="A467" s="7"/>
      <c r="B467" s="7"/>
      <c r="C467" s="7"/>
      <c r="D467" s="7"/>
      <c r="E467" s="10">
        <f>IFERROR(SUMIFS(Composicao_Preparos!H:H,Composicao_Preparos!A:A,A467),0)</f>
      </c>
      <c r="F467" s="9">
        <f>IF(C467&gt;0,IFERROR(E467/C467,""),"")</f>
      </c>
      <c r="G467" s="5"/>
    </row>
    <row r="468" spans="1:7" x14ac:dyDescent="0.25">
      <c r="A468" s="7"/>
      <c r="B468" s="7"/>
      <c r="C468" s="7"/>
      <c r="D468" s="7"/>
      <c r="E468" s="10">
        <f>IFERROR(SUMIFS(Composicao_Preparos!H:H,Composicao_Preparos!A:A,A468),0)</f>
      </c>
      <c r="F468" s="9">
        <f>IF(C468&gt;0,IFERROR(E468/C468,""),"")</f>
      </c>
      <c r="G468" s="5"/>
    </row>
    <row r="469" spans="1:7" x14ac:dyDescent="0.25">
      <c r="A469" s="7"/>
      <c r="B469" s="7"/>
      <c r="C469" s="7"/>
      <c r="D469" s="7"/>
      <c r="E469" s="10">
        <f>IFERROR(SUMIFS(Composicao_Preparos!H:H,Composicao_Preparos!A:A,A469),0)</f>
      </c>
      <c r="F469" s="9">
        <f>IF(C469&gt;0,IFERROR(E469/C469,""),"")</f>
      </c>
      <c r="G469" s="5"/>
    </row>
    <row r="470" spans="1:7" x14ac:dyDescent="0.25">
      <c r="A470" s="7"/>
      <c r="B470" s="7"/>
      <c r="C470" s="7"/>
      <c r="D470" s="7"/>
      <c r="E470" s="10">
        <f>IFERROR(SUMIFS(Composicao_Preparos!H:H,Composicao_Preparos!A:A,A470),0)</f>
      </c>
      <c r="F470" s="9">
        <f>IF(C470&gt;0,IFERROR(E470/C470,""),"")</f>
      </c>
      <c r="G470" s="5"/>
    </row>
    <row r="471" spans="1:7" x14ac:dyDescent="0.25">
      <c r="A471" s="7"/>
      <c r="B471" s="7"/>
      <c r="C471" s="7"/>
      <c r="D471" s="7"/>
      <c r="E471" s="10">
        <f>IFERROR(SUMIFS(Composicao_Preparos!H:H,Composicao_Preparos!A:A,A471),0)</f>
      </c>
      <c r="F471" s="9">
        <f>IF(C471&gt;0,IFERROR(E471/C471,""),"")</f>
      </c>
      <c r="G471" s="5"/>
    </row>
    <row r="472" spans="1:7" x14ac:dyDescent="0.25">
      <c r="A472" s="7"/>
      <c r="B472" s="7"/>
      <c r="C472" s="7"/>
      <c r="D472" s="7"/>
      <c r="E472" s="10">
        <f>IFERROR(SUMIFS(Composicao_Preparos!H:H,Composicao_Preparos!A:A,A472),0)</f>
      </c>
      <c r="F472" s="9">
        <f>IF(C472&gt;0,IFERROR(E472/C472,""),"")</f>
      </c>
      <c r="G472" s="5"/>
    </row>
    <row r="473" spans="1:7" x14ac:dyDescent="0.25">
      <c r="A473" s="7"/>
      <c r="B473" s="7"/>
      <c r="C473" s="7"/>
      <c r="D473" s="7"/>
      <c r="E473" s="10">
        <f>IFERROR(SUMIFS(Composicao_Preparos!H:H,Composicao_Preparos!A:A,A473),0)</f>
      </c>
      <c r="F473" s="9">
        <f>IF(C473&gt;0,IFERROR(E473/C473,""),"")</f>
      </c>
      <c r="G473" s="5"/>
    </row>
    <row r="474" spans="1:7" x14ac:dyDescent="0.25">
      <c r="A474" s="7"/>
      <c r="B474" s="7"/>
      <c r="C474" s="7"/>
      <c r="D474" s="7"/>
      <c r="E474" s="10">
        <f>IFERROR(SUMIFS(Composicao_Preparos!H:H,Composicao_Preparos!A:A,A474),0)</f>
      </c>
      <c r="F474" s="9">
        <f>IF(C474&gt;0,IFERROR(E474/C474,""),"")</f>
      </c>
      <c r="G474" s="5"/>
    </row>
    <row r="475" spans="1:7" x14ac:dyDescent="0.25">
      <c r="A475" s="7"/>
      <c r="B475" s="7"/>
      <c r="C475" s="7"/>
      <c r="D475" s="7"/>
      <c r="E475" s="10">
        <f>IFERROR(SUMIFS(Composicao_Preparos!H:H,Composicao_Preparos!A:A,A475),0)</f>
      </c>
      <c r="F475" s="9">
        <f>IF(C475&gt;0,IFERROR(E475/C475,""),"")</f>
      </c>
      <c r="G475" s="5"/>
    </row>
    <row r="476" spans="1:7" x14ac:dyDescent="0.25">
      <c r="A476" s="7"/>
      <c r="B476" s="7"/>
      <c r="C476" s="7"/>
      <c r="D476" s="7"/>
      <c r="E476" s="10">
        <f>IFERROR(SUMIFS(Composicao_Preparos!H:H,Composicao_Preparos!A:A,A476),0)</f>
      </c>
      <c r="F476" s="9">
        <f>IF(C476&gt;0,IFERROR(E476/C476,""),"")</f>
      </c>
      <c r="G476" s="5"/>
    </row>
    <row r="477" spans="1:7" x14ac:dyDescent="0.25">
      <c r="A477" s="7"/>
      <c r="B477" s="7"/>
      <c r="C477" s="7"/>
      <c r="D477" s="7"/>
      <c r="E477" s="10">
        <f>IFERROR(SUMIFS(Composicao_Preparos!H:H,Composicao_Preparos!A:A,A477),0)</f>
      </c>
      <c r="F477" s="9">
        <f>IF(C477&gt;0,IFERROR(E477/C477,""),"")</f>
      </c>
      <c r="G477" s="5"/>
    </row>
    <row r="478" spans="1:7" x14ac:dyDescent="0.25">
      <c r="A478" s="7"/>
      <c r="B478" s="7"/>
      <c r="C478" s="7"/>
      <c r="D478" s="7"/>
      <c r="E478" s="10">
        <f>IFERROR(SUMIFS(Composicao_Preparos!H:H,Composicao_Preparos!A:A,A478),0)</f>
      </c>
      <c r="F478" s="9">
        <f>IF(C478&gt;0,IFERROR(E478/C478,""),"")</f>
      </c>
      <c r="G478" s="5"/>
    </row>
    <row r="479" spans="1:7" x14ac:dyDescent="0.25">
      <c r="A479" s="7"/>
      <c r="B479" s="7"/>
      <c r="C479" s="7"/>
      <c r="D479" s="7"/>
      <c r="E479" s="10">
        <f>IFERROR(SUMIFS(Composicao_Preparos!H:H,Composicao_Preparos!A:A,A479),0)</f>
      </c>
      <c r="F479" s="9">
        <f>IF(C479&gt;0,IFERROR(E479/C479,""),"")</f>
      </c>
      <c r="G479" s="5"/>
    </row>
    <row r="480" spans="1:7" x14ac:dyDescent="0.25">
      <c r="A480" s="7"/>
      <c r="B480" s="7"/>
      <c r="C480" s="7"/>
      <c r="D480" s="7"/>
      <c r="E480" s="10">
        <f>IFERROR(SUMIFS(Composicao_Preparos!H:H,Composicao_Preparos!A:A,A480),0)</f>
      </c>
      <c r="F480" s="9">
        <f>IF(C480&gt;0,IFERROR(E480/C480,""),"")</f>
      </c>
      <c r="G480" s="5"/>
    </row>
    <row r="481" spans="1:7" x14ac:dyDescent="0.25">
      <c r="A481" s="7"/>
      <c r="B481" s="7"/>
      <c r="C481" s="7"/>
      <c r="D481" s="7"/>
      <c r="E481" s="10">
        <f>IFERROR(SUMIFS(Composicao_Preparos!H:H,Composicao_Preparos!A:A,A481),0)</f>
      </c>
      <c r="F481" s="9">
        <f>IF(C481&gt;0,IFERROR(E481/C481,""),"")</f>
      </c>
      <c r="G481" s="5"/>
    </row>
    <row r="482" spans="1:7" x14ac:dyDescent="0.25">
      <c r="A482" s="7"/>
      <c r="B482" s="7"/>
      <c r="C482" s="7"/>
      <c r="D482" s="7"/>
      <c r="E482" s="10">
        <f>IFERROR(SUMIFS(Composicao_Preparos!H:H,Composicao_Preparos!A:A,A482),0)</f>
      </c>
      <c r="F482" s="9">
        <f>IF(C482&gt;0,IFERROR(E482/C482,""),"")</f>
      </c>
      <c r="G482" s="5"/>
    </row>
    <row r="483" spans="1:7" x14ac:dyDescent="0.25">
      <c r="A483" s="7"/>
      <c r="B483" s="7"/>
      <c r="C483" s="7"/>
      <c r="D483" s="7"/>
      <c r="E483" s="10">
        <f>IFERROR(SUMIFS(Composicao_Preparos!H:H,Composicao_Preparos!A:A,A483),0)</f>
      </c>
      <c r="F483" s="9">
        <f>IF(C483&gt;0,IFERROR(E483/C483,""),"")</f>
      </c>
      <c r="G483" s="5"/>
    </row>
    <row r="484" spans="1:7" x14ac:dyDescent="0.25">
      <c r="A484" s="7"/>
      <c r="B484" s="7"/>
      <c r="C484" s="7"/>
      <c r="D484" s="7"/>
      <c r="E484" s="10">
        <f>IFERROR(SUMIFS(Composicao_Preparos!H:H,Composicao_Preparos!A:A,A484),0)</f>
      </c>
      <c r="F484" s="9">
        <f>IF(C484&gt;0,IFERROR(E484/C484,""),"")</f>
      </c>
      <c r="G484" s="5"/>
    </row>
    <row r="485" spans="1:7" x14ac:dyDescent="0.25">
      <c r="A485" s="7"/>
      <c r="B485" s="7"/>
      <c r="C485" s="7"/>
      <c r="D485" s="7"/>
      <c r="E485" s="10">
        <f>IFERROR(SUMIFS(Composicao_Preparos!H:H,Composicao_Preparos!A:A,A485),0)</f>
      </c>
      <c r="F485" s="9">
        <f>IF(C485&gt;0,IFERROR(E485/C485,""),"")</f>
      </c>
      <c r="G485" s="5"/>
    </row>
    <row r="486" spans="1:7" x14ac:dyDescent="0.25">
      <c r="A486" s="7"/>
      <c r="B486" s="7"/>
      <c r="C486" s="7"/>
      <c r="D486" s="7"/>
      <c r="E486" s="10">
        <f>IFERROR(SUMIFS(Composicao_Preparos!H:H,Composicao_Preparos!A:A,A486),0)</f>
      </c>
      <c r="F486" s="9">
        <f>IF(C486&gt;0,IFERROR(E486/C486,""),"")</f>
      </c>
      <c r="G486" s="5"/>
    </row>
    <row r="487" spans="1:7" x14ac:dyDescent="0.25">
      <c r="A487" s="7"/>
      <c r="B487" s="7"/>
      <c r="C487" s="7"/>
      <c r="D487" s="7"/>
      <c r="E487" s="10">
        <f>IFERROR(SUMIFS(Composicao_Preparos!H:H,Composicao_Preparos!A:A,A487),0)</f>
      </c>
      <c r="F487" s="9">
        <f>IF(C487&gt;0,IFERROR(E487/C487,""),"")</f>
      </c>
      <c r="G487" s="5"/>
    </row>
    <row r="488" spans="1:7" x14ac:dyDescent="0.25">
      <c r="A488" s="7"/>
      <c r="B488" s="7"/>
      <c r="C488" s="7"/>
      <c r="D488" s="7"/>
      <c r="E488" s="10">
        <f>IFERROR(SUMIFS(Composicao_Preparos!H:H,Composicao_Preparos!A:A,A488),0)</f>
      </c>
      <c r="F488" s="9">
        <f>IF(C488&gt;0,IFERROR(E488/C488,""),"")</f>
      </c>
      <c r="G488" s="5"/>
    </row>
    <row r="489" spans="1:7" x14ac:dyDescent="0.25">
      <c r="A489" s="7"/>
      <c r="B489" s="7"/>
      <c r="C489" s="7"/>
      <c r="D489" s="7"/>
      <c r="E489" s="10">
        <f>IFERROR(SUMIFS(Composicao_Preparos!H:H,Composicao_Preparos!A:A,A489),0)</f>
      </c>
      <c r="F489" s="9">
        <f>IF(C489&gt;0,IFERROR(E489/C489,""),"")</f>
      </c>
      <c r="G489" s="5"/>
    </row>
    <row r="490" spans="1:7" x14ac:dyDescent="0.25">
      <c r="A490" s="7"/>
      <c r="B490" s="7"/>
      <c r="C490" s="7"/>
      <c r="D490" s="7"/>
      <c r="E490" s="10">
        <f>IFERROR(SUMIFS(Composicao_Preparos!H:H,Composicao_Preparos!A:A,A490),0)</f>
      </c>
      <c r="F490" s="9">
        <f>IF(C490&gt;0,IFERROR(E490/C490,""),"")</f>
      </c>
      <c r="G490" s="5"/>
    </row>
    <row r="491" spans="1:7" x14ac:dyDescent="0.25">
      <c r="A491" s="7"/>
      <c r="B491" s="7"/>
      <c r="C491" s="7"/>
      <c r="D491" s="7"/>
      <c r="E491" s="10">
        <f>IFERROR(SUMIFS(Composicao_Preparos!H:H,Composicao_Preparos!A:A,A491),0)</f>
      </c>
      <c r="F491" s="9">
        <f>IF(C491&gt;0,IFERROR(E491/C491,""),"")</f>
      </c>
      <c r="G491" s="5"/>
    </row>
    <row r="492" spans="1:7" x14ac:dyDescent="0.25">
      <c r="A492" s="7"/>
      <c r="B492" s="7"/>
      <c r="C492" s="7"/>
      <c r="D492" s="7"/>
      <c r="E492" s="10">
        <f>IFERROR(SUMIFS(Composicao_Preparos!H:H,Composicao_Preparos!A:A,A492),0)</f>
      </c>
      <c r="F492" s="9">
        <f>IF(C492&gt;0,IFERROR(E492/C492,""),"")</f>
      </c>
      <c r="G492" s="5"/>
    </row>
    <row r="493" spans="1:7" x14ac:dyDescent="0.25">
      <c r="A493" s="7"/>
      <c r="B493" s="7"/>
      <c r="C493" s="7"/>
      <c r="D493" s="7"/>
      <c r="E493" s="10">
        <f>IFERROR(SUMIFS(Composicao_Preparos!H:H,Composicao_Preparos!A:A,A493),0)</f>
      </c>
      <c r="F493" s="9">
        <f>IF(C493&gt;0,IFERROR(E493/C493,""),"")</f>
      </c>
      <c r="G493" s="5"/>
    </row>
    <row r="494" spans="1:7" x14ac:dyDescent="0.25">
      <c r="A494" s="7"/>
      <c r="B494" s="7"/>
      <c r="C494" s="7"/>
      <c r="D494" s="7"/>
      <c r="E494" s="10">
        <f>IFERROR(SUMIFS(Composicao_Preparos!H:H,Composicao_Preparos!A:A,A494),0)</f>
      </c>
      <c r="F494" s="9">
        <f>IF(C494&gt;0,IFERROR(E494/C494,""),"")</f>
      </c>
      <c r="G494" s="5"/>
    </row>
    <row r="495" spans="1:7" x14ac:dyDescent="0.25">
      <c r="A495" s="7"/>
      <c r="B495" s="7"/>
      <c r="C495" s="7"/>
      <c r="D495" s="7"/>
      <c r="E495" s="10">
        <f>IFERROR(SUMIFS(Composicao_Preparos!H:H,Composicao_Preparos!A:A,A495),0)</f>
      </c>
      <c r="F495" s="9">
        <f>IF(C495&gt;0,IFERROR(E495/C495,""),"")</f>
      </c>
      <c r="G495" s="5"/>
    </row>
    <row r="496" spans="1:7" x14ac:dyDescent="0.25">
      <c r="A496" s="7"/>
      <c r="B496" s="7"/>
      <c r="C496" s="7"/>
      <c r="D496" s="7"/>
      <c r="E496" s="10">
        <f>IFERROR(SUMIFS(Composicao_Preparos!H:H,Composicao_Preparos!A:A,A496),0)</f>
      </c>
      <c r="F496" s="9">
        <f>IF(C496&gt;0,IFERROR(E496/C496,""),"")</f>
      </c>
      <c r="G496" s="5"/>
    </row>
    <row r="497" spans="1:7" x14ac:dyDescent="0.25">
      <c r="A497" s="7"/>
      <c r="B497" s="7"/>
      <c r="C497" s="7"/>
      <c r="D497" s="7"/>
      <c r="E497" s="10">
        <f>IFERROR(SUMIFS(Composicao_Preparos!H:H,Composicao_Preparos!A:A,A497),0)</f>
      </c>
      <c r="F497" s="9">
        <f>IF(C497&gt;0,IFERROR(E497/C497,""),"")</f>
      </c>
      <c r="G497" s="5"/>
    </row>
    <row r="498" spans="1:7" x14ac:dyDescent="0.25">
      <c r="A498" s="7"/>
      <c r="B498" s="7"/>
      <c r="C498" s="7"/>
      <c r="D498" s="7"/>
      <c r="E498" s="10">
        <f>IFERROR(SUMIFS(Composicao_Preparos!H:H,Composicao_Preparos!A:A,A498),0)</f>
      </c>
      <c r="F498" s="9">
        <f>IF(C498&gt;0,IFERROR(E498/C498,""),"")</f>
      </c>
      <c r="G498" s="5"/>
    </row>
    <row r="499" spans="1:7" x14ac:dyDescent="0.25">
      <c r="A499" s="7"/>
      <c r="B499" s="7"/>
      <c r="C499" s="7"/>
      <c r="D499" s="7"/>
      <c r="E499" s="10">
        <f>IFERROR(SUMIFS(Composicao_Preparos!H:H,Composicao_Preparos!A:A,A499),0)</f>
      </c>
      <c r="F499" s="9">
        <f>IF(C499&gt;0,IFERROR(E499/C499,""),"")</f>
      </c>
      <c r="G499" s="5"/>
    </row>
    <row r="500" spans="1:7" x14ac:dyDescent="0.25">
      <c r="A500" s="7"/>
      <c r="B500" s="7"/>
      <c r="C500" s="7"/>
      <c r="D500" s="7"/>
      <c r="E500" s="10">
        <f>IFERROR(SUMIFS(Composicao_Preparos!H:H,Composicao_Preparos!A:A,A500),0)</f>
      </c>
      <c r="F500" s="9">
        <f>IF(C500&gt;0,IFERROR(E500/C500,""),"")</f>
      </c>
      <c r="G500" s="5"/>
    </row>
  </sheetData>
  <dataValidations count="4">
    <dataValidation type="list" allowBlank="1" sqref="B10:B500">
      <formula1>=_Categorias!$B$2:$B$500</formula1>
    </dataValidation>
    <dataValidation type="list" allowBlank="1" sqref="B2:B500">
      <formula1>=_Categorias!$B$2:$B$500</formula1>
    </dataValidation>
    <dataValidation type="list" allowBlank="1" sqref="D10:D500">
      <formula1>"g,ml,un"</formula1>
    </dataValidation>
    <dataValidation type="list" allowBlank="1" sqref="D2:D500">
      <formula1>"g,ml,un"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4" width="18" customWidth="1"/>
    <col min="5" max="5" width="14" customWidth="1"/>
    <col min="6" max="6" width="40" customWidth="1"/>
  </cols>
  <sheetData>
    <row r="1" ht="32" customHeight="1" spans="1:6" x14ac:dyDescent="0.25">
      <c r="A1" s="6" t="s">
        <v>111</v>
      </c>
      <c r="B1" s="6" t="s">
        <v>74</v>
      </c>
      <c r="C1" s="6" t="s">
        <v>168</v>
      </c>
      <c r="D1" s="6" t="s">
        <v>158</v>
      </c>
      <c r="E1" s="6" t="s">
        <v>169</v>
      </c>
      <c r="F1" s="6" t="s">
        <v>120</v>
      </c>
    </row>
    <row r="2" spans="1:6" x14ac:dyDescent="0.25">
      <c r="A2" s="7" t="s">
        <v>170</v>
      </c>
      <c r="B2" s="7" t="s">
        <v>105</v>
      </c>
      <c r="C2" s="7">
        <v>32</v>
      </c>
      <c r="D2" s="10">
        <f>IFERROR(SUMIFS(Composicao_Fichas!H:H,Composicao_Fichas!A:A,A2),0)</f>
      </c>
      <c r="E2" s="11">
        <f>IF(C2&gt;0,IFERROR(D2/C2,""),"")</f>
      </c>
      <c r="F2" s="5" t="s">
        <v>130</v>
      </c>
    </row>
    <row r="3" spans="1:6" x14ac:dyDescent="0.25">
      <c r="A3" s="7" t="s">
        <v>171</v>
      </c>
      <c r="B3" s="7" t="s">
        <v>105</v>
      </c>
      <c r="C3" s="7">
        <v>68</v>
      </c>
      <c r="D3" s="10">
        <f>IFERROR(SUMIFS(Composicao_Fichas!H:H,Composicao_Fichas!A:A,A3),0)</f>
      </c>
      <c r="E3" s="11">
        <f>IF(C3&gt;0,IFERROR(D3/C3,""),"")</f>
      </c>
      <c r="F3" s="5" t="s">
        <v>172</v>
      </c>
    </row>
    <row r="4" spans="1:6" x14ac:dyDescent="0.25">
      <c r="A4" s="7" t="s">
        <v>173</v>
      </c>
      <c r="B4" s="7" t="s">
        <v>105</v>
      </c>
      <c r="C4" s="7">
        <v>89</v>
      </c>
      <c r="D4" s="10">
        <f>IFERROR(SUMIFS(Composicao_Fichas!H:H,Composicao_Fichas!A:A,A4),0)</f>
      </c>
      <c r="E4" s="11">
        <f>IF(C4&gt;0,IFERROR(D4/C4,""),"")</f>
      </c>
      <c r="F4" s="5" t="s">
        <v>130</v>
      </c>
    </row>
    <row r="5" spans="1:6" x14ac:dyDescent="0.25">
      <c r="A5" s="7"/>
      <c r="B5" s="7"/>
      <c r="C5" s="7"/>
      <c r="D5" s="10">
        <f>IFERROR(SUMIFS(Composicao_Fichas!H:H,Composicao_Fichas!A:A,A5),0)</f>
      </c>
      <c r="E5" s="11">
        <f>IF(C5&gt;0,IFERROR(D5/C5,""),"")</f>
      </c>
      <c r="F5" s="5"/>
    </row>
    <row r="6" spans="1:6" x14ac:dyDescent="0.25">
      <c r="A6" s="7"/>
      <c r="B6" s="7"/>
      <c r="C6" s="7"/>
      <c r="D6" s="10">
        <f>IFERROR(SUMIFS(Composicao_Fichas!H:H,Composicao_Fichas!A:A,A6),0)</f>
      </c>
      <c r="E6" s="11">
        <f>IF(C6&gt;0,IFERROR(D6/C6,""),"")</f>
      </c>
      <c r="F6" s="5"/>
    </row>
    <row r="7" spans="1:6" x14ac:dyDescent="0.25">
      <c r="A7" s="7"/>
      <c r="B7" s="7"/>
      <c r="C7" s="7"/>
      <c r="D7" s="10">
        <f>IFERROR(SUMIFS(Composicao_Fichas!H:H,Composicao_Fichas!A:A,A7),0)</f>
      </c>
      <c r="E7" s="11">
        <f>IF(C7&gt;0,IFERROR(D7/C7,""),"")</f>
      </c>
      <c r="F7" s="5"/>
    </row>
    <row r="8" spans="1:6" x14ac:dyDescent="0.25">
      <c r="A8" s="7"/>
      <c r="B8" s="7"/>
      <c r="C8" s="7"/>
      <c r="D8" s="10">
        <f>IFERROR(SUMIFS(Composicao_Fichas!H:H,Composicao_Fichas!A:A,A8),0)</f>
      </c>
      <c r="E8" s="11">
        <f>IF(C8&gt;0,IFERROR(D8/C8,""),"")</f>
      </c>
      <c r="F8" s="5"/>
    </row>
    <row r="9" spans="1:6" x14ac:dyDescent="0.25">
      <c r="A9" s="7"/>
      <c r="B9" s="7"/>
      <c r="C9" s="7"/>
      <c r="D9" s="10">
        <f>IFERROR(SUMIFS(Composicao_Fichas!H:H,Composicao_Fichas!A:A,A9),0)</f>
      </c>
      <c r="E9" s="11">
        <f>IF(C9&gt;0,IFERROR(D9/C9,""),"")</f>
      </c>
      <c r="F9" s="5"/>
    </row>
    <row r="10" spans="1:6" x14ac:dyDescent="0.25">
      <c r="A10" s="7"/>
      <c r="B10" s="7"/>
      <c r="C10" s="7"/>
      <c r="D10" s="10">
        <f>IFERROR(SUMIFS(Composicao_Fichas!H:H,Composicao_Fichas!A:A,A10),0)</f>
      </c>
      <c r="E10" s="11">
        <f>IF(C10&gt;0,IFERROR(D10/C10,""),"")</f>
      </c>
      <c r="F10" s="5"/>
    </row>
    <row r="11" spans="1:6" x14ac:dyDescent="0.25">
      <c r="A11" s="7"/>
      <c r="B11" s="7"/>
      <c r="C11" s="7"/>
      <c r="D11" s="10">
        <f>IFERROR(SUMIFS(Composicao_Fichas!H:H,Composicao_Fichas!A:A,A11),0)</f>
      </c>
      <c r="E11" s="11">
        <f>IF(C11&gt;0,IFERROR(D11/C11,""),"")</f>
      </c>
      <c r="F11" s="5"/>
    </row>
    <row r="12" spans="1:6" x14ac:dyDescent="0.25">
      <c r="A12" s="7"/>
      <c r="B12" s="7"/>
      <c r="C12" s="7"/>
      <c r="D12" s="10">
        <f>IFERROR(SUMIFS(Composicao_Fichas!H:H,Composicao_Fichas!A:A,A12),0)</f>
      </c>
      <c r="E12" s="11">
        <f>IF(C12&gt;0,IFERROR(D12/C12,""),"")</f>
      </c>
      <c r="F12" s="5"/>
    </row>
    <row r="13" spans="1:6" x14ac:dyDescent="0.25">
      <c r="A13" s="7"/>
      <c r="B13" s="7"/>
      <c r="C13" s="7"/>
      <c r="D13" s="10">
        <f>IFERROR(SUMIFS(Composicao_Fichas!H:H,Composicao_Fichas!A:A,A13),0)</f>
      </c>
      <c r="E13" s="11">
        <f>IF(C13&gt;0,IFERROR(D13/C13,""),"")</f>
      </c>
      <c r="F13" s="5"/>
    </row>
    <row r="14" spans="1:6" x14ac:dyDescent="0.25">
      <c r="A14" s="7"/>
      <c r="B14" s="7"/>
      <c r="C14" s="7"/>
      <c r="D14" s="10">
        <f>IFERROR(SUMIFS(Composicao_Fichas!H:H,Composicao_Fichas!A:A,A14),0)</f>
      </c>
      <c r="E14" s="11">
        <f>IF(C14&gt;0,IFERROR(D14/C14,""),"")</f>
      </c>
      <c r="F14" s="5"/>
    </row>
    <row r="15" spans="1:6" x14ac:dyDescent="0.25">
      <c r="A15" s="7"/>
      <c r="B15" s="7"/>
      <c r="C15" s="7"/>
      <c r="D15" s="10">
        <f>IFERROR(SUMIFS(Composicao_Fichas!H:H,Composicao_Fichas!A:A,A15),0)</f>
      </c>
      <c r="E15" s="11">
        <f>IF(C15&gt;0,IFERROR(D15/C15,""),"")</f>
      </c>
      <c r="F15" s="5"/>
    </row>
    <row r="16" spans="1:6" x14ac:dyDescent="0.25">
      <c r="A16" s="7"/>
      <c r="B16" s="7"/>
      <c r="C16" s="7"/>
      <c r="D16" s="10">
        <f>IFERROR(SUMIFS(Composicao_Fichas!H:H,Composicao_Fichas!A:A,A16),0)</f>
      </c>
      <c r="E16" s="11">
        <f>IF(C16&gt;0,IFERROR(D16/C16,""),"")</f>
      </c>
      <c r="F16" s="5"/>
    </row>
    <row r="17" spans="1:6" x14ac:dyDescent="0.25">
      <c r="A17" s="7"/>
      <c r="B17" s="7"/>
      <c r="C17" s="7"/>
      <c r="D17" s="10">
        <f>IFERROR(SUMIFS(Composicao_Fichas!H:H,Composicao_Fichas!A:A,A17),0)</f>
      </c>
      <c r="E17" s="11">
        <f>IF(C17&gt;0,IFERROR(D17/C17,""),"")</f>
      </c>
      <c r="F17" s="5"/>
    </row>
    <row r="18" spans="1:6" x14ac:dyDescent="0.25">
      <c r="A18" s="7"/>
      <c r="B18" s="7"/>
      <c r="C18" s="7"/>
      <c r="D18" s="10">
        <f>IFERROR(SUMIFS(Composicao_Fichas!H:H,Composicao_Fichas!A:A,A18),0)</f>
      </c>
      <c r="E18" s="11">
        <f>IF(C18&gt;0,IFERROR(D18/C18,""),"")</f>
      </c>
      <c r="F18" s="5"/>
    </row>
    <row r="19" spans="1:6" x14ac:dyDescent="0.25">
      <c r="A19" s="7"/>
      <c r="B19" s="7"/>
      <c r="C19" s="7"/>
      <c r="D19" s="10">
        <f>IFERROR(SUMIFS(Composicao_Fichas!H:H,Composicao_Fichas!A:A,A19),0)</f>
      </c>
      <c r="E19" s="11">
        <f>IF(C19&gt;0,IFERROR(D19/C19,""),"")</f>
      </c>
      <c r="F19" s="5"/>
    </row>
    <row r="20" spans="1:6" x14ac:dyDescent="0.25">
      <c r="A20" s="7"/>
      <c r="B20" s="7"/>
      <c r="C20" s="7"/>
      <c r="D20" s="10">
        <f>IFERROR(SUMIFS(Composicao_Fichas!H:H,Composicao_Fichas!A:A,A20),0)</f>
      </c>
      <c r="E20" s="11">
        <f>IF(C20&gt;0,IFERROR(D20/C20,""),"")</f>
      </c>
      <c r="F20" s="5"/>
    </row>
    <row r="21" spans="1:6" x14ac:dyDescent="0.25">
      <c r="A21" s="7"/>
      <c r="B21" s="7"/>
      <c r="C21" s="7"/>
      <c r="D21" s="10">
        <f>IFERROR(SUMIFS(Composicao_Fichas!H:H,Composicao_Fichas!A:A,A21),0)</f>
      </c>
      <c r="E21" s="11">
        <f>IF(C21&gt;0,IFERROR(D21/C21,""),"")</f>
      </c>
      <c r="F21" s="5"/>
    </row>
    <row r="22" spans="1:6" x14ac:dyDescent="0.25">
      <c r="A22" s="7"/>
      <c r="B22" s="7"/>
      <c r="C22" s="7"/>
      <c r="D22" s="10">
        <f>IFERROR(SUMIFS(Composicao_Fichas!H:H,Composicao_Fichas!A:A,A22),0)</f>
      </c>
      <c r="E22" s="11">
        <f>IF(C22&gt;0,IFERROR(D22/C22,""),"")</f>
      </c>
      <c r="F22" s="5"/>
    </row>
    <row r="23" spans="1:6" x14ac:dyDescent="0.25">
      <c r="A23" s="7"/>
      <c r="B23" s="7"/>
      <c r="C23" s="7"/>
      <c r="D23" s="10">
        <f>IFERROR(SUMIFS(Composicao_Fichas!H:H,Composicao_Fichas!A:A,A23),0)</f>
      </c>
      <c r="E23" s="11">
        <f>IF(C23&gt;0,IFERROR(D23/C23,""),"")</f>
      </c>
      <c r="F23" s="5"/>
    </row>
    <row r="24" spans="1:6" x14ac:dyDescent="0.25">
      <c r="A24" s="7"/>
      <c r="B24" s="7"/>
      <c r="C24" s="7"/>
      <c r="D24" s="10">
        <f>IFERROR(SUMIFS(Composicao_Fichas!H:H,Composicao_Fichas!A:A,A24),0)</f>
      </c>
      <c r="E24" s="11">
        <f>IF(C24&gt;0,IFERROR(D24/C24,""),"")</f>
      </c>
      <c r="F24" s="5"/>
    </row>
    <row r="25" spans="1:6" x14ac:dyDescent="0.25">
      <c r="A25" s="7"/>
      <c r="B25" s="7"/>
      <c r="C25" s="7"/>
      <c r="D25" s="10">
        <f>IFERROR(SUMIFS(Composicao_Fichas!H:H,Composicao_Fichas!A:A,A25),0)</f>
      </c>
      <c r="E25" s="11">
        <f>IF(C25&gt;0,IFERROR(D25/C25,""),"")</f>
      </c>
      <c r="F25" s="5"/>
    </row>
    <row r="26" spans="1:6" x14ac:dyDescent="0.25">
      <c r="A26" s="7"/>
      <c r="B26" s="7"/>
      <c r="C26" s="7"/>
      <c r="D26" s="10">
        <f>IFERROR(SUMIFS(Composicao_Fichas!H:H,Composicao_Fichas!A:A,A26),0)</f>
      </c>
      <c r="E26" s="11">
        <f>IF(C26&gt;0,IFERROR(D26/C26,""),"")</f>
      </c>
      <c r="F26" s="5"/>
    </row>
    <row r="27" spans="1:6" x14ac:dyDescent="0.25">
      <c r="A27" s="7"/>
      <c r="B27" s="7"/>
      <c r="C27" s="7"/>
      <c r="D27" s="10">
        <f>IFERROR(SUMIFS(Composicao_Fichas!H:H,Composicao_Fichas!A:A,A27),0)</f>
      </c>
      <c r="E27" s="11">
        <f>IF(C27&gt;0,IFERROR(D27/C27,""),"")</f>
      </c>
      <c r="F27" s="5"/>
    </row>
    <row r="28" spans="1:6" x14ac:dyDescent="0.25">
      <c r="A28" s="7"/>
      <c r="B28" s="7"/>
      <c r="C28" s="7"/>
      <c r="D28" s="10">
        <f>IFERROR(SUMIFS(Composicao_Fichas!H:H,Composicao_Fichas!A:A,A28),0)</f>
      </c>
      <c r="E28" s="11">
        <f>IF(C28&gt;0,IFERROR(D28/C28,""),"")</f>
      </c>
      <c r="F28" s="5"/>
    </row>
    <row r="29" spans="1:6" x14ac:dyDescent="0.25">
      <c r="A29" s="7"/>
      <c r="B29" s="7"/>
      <c r="C29" s="7"/>
      <c r="D29" s="10">
        <f>IFERROR(SUMIFS(Composicao_Fichas!H:H,Composicao_Fichas!A:A,A29),0)</f>
      </c>
      <c r="E29" s="11">
        <f>IF(C29&gt;0,IFERROR(D29/C29,""),"")</f>
      </c>
      <c r="F29" s="5"/>
    </row>
    <row r="30" spans="1:6" x14ac:dyDescent="0.25">
      <c r="A30" s="7"/>
      <c r="B30" s="7"/>
      <c r="C30" s="7"/>
      <c r="D30" s="10">
        <f>IFERROR(SUMIFS(Composicao_Fichas!H:H,Composicao_Fichas!A:A,A30),0)</f>
      </c>
      <c r="E30" s="11">
        <f>IF(C30&gt;0,IFERROR(D30/C30,""),"")</f>
      </c>
      <c r="F30" s="5"/>
    </row>
    <row r="31" spans="1:6" x14ac:dyDescent="0.25">
      <c r="A31" s="7"/>
      <c r="B31" s="7"/>
      <c r="C31" s="7"/>
      <c r="D31" s="10">
        <f>IFERROR(SUMIFS(Composicao_Fichas!H:H,Composicao_Fichas!A:A,A31),0)</f>
      </c>
      <c r="E31" s="11">
        <f>IF(C31&gt;0,IFERROR(D31/C31,""),"")</f>
      </c>
      <c r="F31" s="5"/>
    </row>
    <row r="32" spans="1:6" x14ac:dyDescent="0.25">
      <c r="A32" s="7"/>
      <c r="B32" s="7"/>
      <c r="C32" s="7"/>
      <c r="D32" s="10">
        <f>IFERROR(SUMIFS(Composicao_Fichas!H:H,Composicao_Fichas!A:A,A32),0)</f>
      </c>
      <c r="E32" s="11">
        <f>IF(C32&gt;0,IFERROR(D32/C32,""),"")</f>
      </c>
      <c r="F32" s="5"/>
    </row>
    <row r="33" spans="1:6" x14ac:dyDescent="0.25">
      <c r="A33" s="7"/>
      <c r="B33" s="7"/>
      <c r="C33" s="7"/>
      <c r="D33" s="10">
        <f>IFERROR(SUMIFS(Composicao_Fichas!H:H,Composicao_Fichas!A:A,A33),0)</f>
      </c>
      <c r="E33" s="11">
        <f>IF(C33&gt;0,IFERROR(D33/C33,""),"")</f>
      </c>
      <c r="F33" s="5"/>
    </row>
    <row r="34" spans="1:6" x14ac:dyDescent="0.25">
      <c r="A34" s="7"/>
      <c r="B34" s="7"/>
      <c r="C34" s="7"/>
      <c r="D34" s="10">
        <f>IFERROR(SUMIFS(Composicao_Fichas!H:H,Composicao_Fichas!A:A,A34),0)</f>
      </c>
      <c r="E34" s="11">
        <f>IF(C34&gt;0,IFERROR(D34/C34,""),"")</f>
      </c>
      <c r="F34" s="5"/>
    </row>
    <row r="35" spans="1:6" x14ac:dyDescent="0.25">
      <c r="A35" s="7"/>
      <c r="B35" s="7"/>
      <c r="C35" s="7"/>
      <c r="D35" s="10">
        <f>IFERROR(SUMIFS(Composicao_Fichas!H:H,Composicao_Fichas!A:A,A35),0)</f>
      </c>
      <c r="E35" s="11">
        <f>IF(C35&gt;0,IFERROR(D35/C35,""),"")</f>
      </c>
      <c r="F35" s="5"/>
    </row>
    <row r="36" spans="1:6" x14ac:dyDescent="0.25">
      <c r="A36" s="7"/>
      <c r="B36" s="7"/>
      <c r="C36" s="7"/>
      <c r="D36" s="10">
        <f>IFERROR(SUMIFS(Composicao_Fichas!H:H,Composicao_Fichas!A:A,A36),0)</f>
      </c>
      <c r="E36" s="11">
        <f>IF(C36&gt;0,IFERROR(D36/C36,""),"")</f>
      </c>
      <c r="F36" s="5"/>
    </row>
    <row r="37" spans="1:6" x14ac:dyDescent="0.25">
      <c r="A37" s="7"/>
      <c r="B37" s="7"/>
      <c r="C37" s="7"/>
      <c r="D37" s="10">
        <f>IFERROR(SUMIFS(Composicao_Fichas!H:H,Composicao_Fichas!A:A,A37),0)</f>
      </c>
      <c r="E37" s="11">
        <f>IF(C37&gt;0,IFERROR(D37/C37,""),"")</f>
      </c>
      <c r="F37" s="5"/>
    </row>
    <row r="38" spans="1:6" x14ac:dyDescent="0.25">
      <c r="A38" s="7"/>
      <c r="B38" s="7"/>
      <c r="C38" s="7"/>
      <c r="D38" s="10">
        <f>IFERROR(SUMIFS(Composicao_Fichas!H:H,Composicao_Fichas!A:A,A38),0)</f>
      </c>
      <c r="E38" s="11">
        <f>IF(C38&gt;0,IFERROR(D38/C38,""),"")</f>
      </c>
      <c r="F38" s="5"/>
    </row>
    <row r="39" spans="1:6" x14ac:dyDescent="0.25">
      <c r="A39" s="7"/>
      <c r="B39" s="7"/>
      <c r="C39" s="7"/>
      <c r="D39" s="10">
        <f>IFERROR(SUMIFS(Composicao_Fichas!H:H,Composicao_Fichas!A:A,A39),0)</f>
      </c>
      <c r="E39" s="11">
        <f>IF(C39&gt;0,IFERROR(D39/C39,""),"")</f>
      </c>
      <c r="F39" s="5"/>
    </row>
    <row r="40" spans="1:6" x14ac:dyDescent="0.25">
      <c r="A40" s="7"/>
      <c r="B40" s="7"/>
      <c r="C40" s="7"/>
      <c r="D40" s="10">
        <f>IFERROR(SUMIFS(Composicao_Fichas!H:H,Composicao_Fichas!A:A,A40),0)</f>
      </c>
      <c r="E40" s="11">
        <f>IF(C40&gt;0,IFERROR(D40/C40,""),"")</f>
      </c>
      <c r="F40" s="5"/>
    </row>
    <row r="41" spans="1:6" x14ac:dyDescent="0.25">
      <c r="A41" s="7"/>
      <c r="B41" s="7"/>
      <c r="C41" s="7"/>
      <c r="D41" s="10">
        <f>IFERROR(SUMIFS(Composicao_Fichas!H:H,Composicao_Fichas!A:A,A41),0)</f>
      </c>
      <c r="E41" s="11">
        <f>IF(C41&gt;0,IFERROR(D41/C41,""),"")</f>
      </c>
      <c r="F41" s="5"/>
    </row>
    <row r="42" spans="1:6" x14ac:dyDescent="0.25">
      <c r="A42" s="7"/>
      <c r="B42" s="7"/>
      <c r="C42" s="7"/>
      <c r="D42" s="10">
        <f>IFERROR(SUMIFS(Composicao_Fichas!H:H,Composicao_Fichas!A:A,A42),0)</f>
      </c>
      <c r="E42" s="11">
        <f>IF(C42&gt;0,IFERROR(D42/C42,""),"")</f>
      </c>
      <c r="F42" s="5"/>
    </row>
    <row r="43" spans="1:6" x14ac:dyDescent="0.25">
      <c r="A43" s="7"/>
      <c r="B43" s="7"/>
      <c r="C43" s="7"/>
      <c r="D43" s="10">
        <f>IFERROR(SUMIFS(Composicao_Fichas!H:H,Composicao_Fichas!A:A,A43),0)</f>
      </c>
      <c r="E43" s="11">
        <f>IF(C43&gt;0,IFERROR(D43/C43,""),"")</f>
      </c>
      <c r="F43" s="5"/>
    </row>
    <row r="44" spans="1:6" x14ac:dyDescent="0.25">
      <c r="A44" s="7"/>
      <c r="B44" s="7"/>
      <c r="C44" s="7"/>
      <c r="D44" s="10">
        <f>IFERROR(SUMIFS(Composicao_Fichas!H:H,Composicao_Fichas!A:A,A44),0)</f>
      </c>
      <c r="E44" s="11">
        <f>IF(C44&gt;0,IFERROR(D44/C44,""),"")</f>
      </c>
      <c r="F44" s="5"/>
    </row>
    <row r="45" spans="1:6" x14ac:dyDescent="0.25">
      <c r="A45" s="7"/>
      <c r="B45" s="7"/>
      <c r="C45" s="7"/>
      <c r="D45" s="10">
        <f>IFERROR(SUMIFS(Composicao_Fichas!H:H,Composicao_Fichas!A:A,A45),0)</f>
      </c>
      <c r="E45" s="11">
        <f>IF(C45&gt;0,IFERROR(D45/C45,""),"")</f>
      </c>
      <c r="F45" s="5"/>
    </row>
    <row r="46" spans="1:6" x14ac:dyDescent="0.25">
      <c r="A46" s="7"/>
      <c r="B46" s="7"/>
      <c r="C46" s="7"/>
      <c r="D46" s="10">
        <f>IFERROR(SUMIFS(Composicao_Fichas!H:H,Composicao_Fichas!A:A,A46),0)</f>
      </c>
      <c r="E46" s="11">
        <f>IF(C46&gt;0,IFERROR(D46/C46,""),"")</f>
      </c>
      <c r="F46" s="5"/>
    </row>
    <row r="47" spans="1:6" x14ac:dyDescent="0.25">
      <c r="A47" s="7"/>
      <c r="B47" s="7"/>
      <c r="C47" s="7"/>
      <c r="D47" s="10">
        <f>IFERROR(SUMIFS(Composicao_Fichas!H:H,Composicao_Fichas!A:A,A47),0)</f>
      </c>
      <c r="E47" s="11">
        <f>IF(C47&gt;0,IFERROR(D47/C47,""),"")</f>
      </c>
      <c r="F47" s="5"/>
    </row>
    <row r="48" spans="1:6" x14ac:dyDescent="0.25">
      <c r="A48" s="7"/>
      <c r="B48" s="7"/>
      <c r="C48" s="7"/>
      <c r="D48" s="10">
        <f>IFERROR(SUMIFS(Composicao_Fichas!H:H,Composicao_Fichas!A:A,A48),0)</f>
      </c>
      <c r="E48" s="11">
        <f>IF(C48&gt;0,IFERROR(D48/C48,""),"")</f>
      </c>
      <c r="F48" s="5"/>
    </row>
    <row r="49" spans="1:6" x14ac:dyDescent="0.25">
      <c r="A49" s="7"/>
      <c r="B49" s="7"/>
      <c r="C49" s="7"/>
      <c r="D49" s="10">
        <f>IFERROR(SUMIFS(Composicao_Fichas!H:H,Composicao_Fichas!A:A,A49),0)</f>
      </c>
      <c r="E49" s="11">
        <f>IF(C49&gt;0,IFERROR(D49/C49,""),"")</f>
      </c>
      <c r="F49" s="5"/>
    </row>
    <row r="50" spans="1:6" x14ac:dyDescent="0.25">
      <c r="A50" s="7"/>
      <c r="B50" s="7"/>
      <c r="C50" s="7"/>
      <c r="D50" s="10">
        <f>IFERROR(SUMIFS(Composicao_Fichas!H:H,Composicao_Fichas!A:A,A50),0)</f>
      </c>
      <c r="E50" s="11">
        <f>IF(C50&gt;0,IFERROR(D50/C50,""),"")</f>
      </c>
      <c r="F50" s="5"/>
    </row>
    <row r="51" spans="1:6" x14ac:dyDescent="0.25">
      <c r="A51" s="7"/>
      <c r="B51" s="7"/>
      <c r="C51" s="7"/>
      <c r="D51" s="10">
        <f>IFERROR(SUMIFS(Composicao_Fichas!H:H,Composicao_Fichas!A:A,A51),0)</f>
      </c>
      <c r="E51" s="11">
        <f>IF(C51&gt;0,IFERROR(D51/C51,""),"")</f>
      </c>
      <c r="F51" s="5"/>
    </row>
    <row r="52" spans="1:6" x14ac:dyDescent="0.25">
      <c r="A52" s="7"/>
      <c r="B52" s="7"/>
      <c r="C52" s="7"/>
      <c r="D52" s="10">
        <f>IFERROR(SUMIFS(Composicao_Fichas!H:H,Composicao_Fichas!A:A,A52),0)</f>
      </c>
      <c r="E52" s="11">
        <f>IF(C52&gt;0,IFERROR(D52/C52,""),"")</f>
      </c>
      <c r="F52" s="5"/>
    </row>
    <row r="53" spans="1:6" x14ac:dyDescent="0.25">
      <c r="A53" s="7"/>
      <c r="B53" s="7"/>
      <c r="C53" s="7"/>
      <c r="D53" s="10">
        <f>IFERROR(SUMIFS(Composicao_Fichas!H:H,Composicao_Fichas!A:A,A53),0)</f>
      </c>
      <c r="E53" s="11">
        <f>IF(C53&gt;0,IFERROR(D53/C53,""),"")</f>
      </c>
      <c r="F53" s="5"/>
    </row>
    <row r="54" spans="1:6" x14ac:dyDescent="0.25">
      <c r="A54" s="7"/>
      <c r="B54" s="7"/>
      <c r="C54" s="7"/>
      <c r="D54" s="10">
        <f>IFERROR(SUMIFS(Composicao_Fichas!H:H,Composicao_Fichas!A:A,A54),0)</f>
      </c>
      <c r="E54" s="11">
        <f>IF(C54&gt;0,IFERROR(D54/C54,""),"")</f>
      </c>
      <c r="F54" s="5"/>
    </row>
    <row r="55" spans="1:6" x14ac:dyDescent="0.25">
      <c r="A55" s="7"/>
      <c r="B55" s="7"/>
      <c r="C55" s="7"/>
      <c r="D55" s="10">
        <f>IFERROR(SUMIFS(Composicao_Fichas!H:H,Composicao_Fichas!A:A,A55),0)</f>
      </c>
      <c r="E55" s="11">
        <f>IF(C55&gt;0,IFERROR(D55/C55,""),"")</f>
      </c>
      <c r="F55" s="5"/>
    </row>
    <row r="56" spans="1:6" x14ac:dyDescent="0.25">
      <c r="A56" s="7"/>
      <c r="B56" s="7"/>
      <c r="C56" s="7"/>
      <c r="D56" s="10">
        <f>IFERROR(SUMIFS(Composicao_Fichas!H:H,Composicao_Fichas!A:A,A56),0)</f>
      </c>
      <c r="E56" s="11">
        <f>IF(C56&gt;0,IFERROR(D56/C56,""),"")</f>
      </c>
      <c r="F56" s="5"/>
    </row>
    <row r="57" spans="1:6" x14ac:dyDescent="0.25">
      <c r="A57" s="7"/>
      <c r="B57" s="7"/>
      <c r="C57" s="7"/>
      <c r="D57" s="10">
        <f>IFERROR(SUMIFS(Composicao_Fichas!H:H,Composicao_Fichas!A:A,A57),0)</f>
      </c>
      <c r="E57" s="11">
        <f>IF(C57&gt;0,IFERROR(D57/C57,""),"")</f>
      </c>
      <c r="F57" s="5"/>
    </row>
    <row r="58" spans="1:6" x14ac:dyDescent="0.25">
      <c r="A58" s="7"/>
      <c r="B58" s="7"/>
      <c r="C58" s="7"/>
      <c r="D58" s="10">
        <f>IFERROR(SUMIFS(Composicao_Fichas!H:H,Composicao_Fichas!A:A,A58),0)</f>
      </c>
      <c r="E58" s="11">
        <f>IF(C58&gt;0,IFERROR(D58/C58,""),"")</f>
      </c>
      <c r="F58" s="5"/>
    </row>
    <row r="59" spans="1:6" x14ac:dyDescent="0.25">
      <c r="A59" s="7"/>
      <c r="B59" s="7"/>
      <c r="C59" s="7"/>
      <c r="D59" s="10">
        <f>IFERROR(SUMIFS(Composicao_Fichas!H:H,Composicao_Fichas!A:A,A59),0)</f>
      </c>
      <c r="E59" s="11">
        <f>IF(C59&gt;0,IFERROR(D59/C59,""),"")</f>
      </c>
      <c r="F59" s="5"/>
    </row>
    <row r="60" spans="1:6" x14ac:dyDescent="0.25">
      <c r="A60" s="7"/>
      <c r="B60" s="7"/>
      <c r="C60" s="7"/>
      <c r="D60" s="10">
        <f>IFERROR(SUMIFS(Composicao_Fichas!H:H,Composicao_Fichas!A:A,A60),0)</f>
      </c>
      <c r="E60" s="11">
        <f>IF(C60&gt;0,IFERROR(D60/C60,""),"")</f>
      </c>
      <c r="F60" s="5"/>
    </row>
    <row r="61" spans="1:6" x14ac:dyDescent="0.25">
      <c r="A61" s="7"/>
      <c r="B61" s="7"/>
      <c r="C61" s="7"/>
      <c r="D61" s="10">
        <f>IFERROR(SUMIFS(Composicao_Fichas!H:H,Composicao_Fichas!A:A,A61),0)</f>
      </c>
      <c r="E61" s="11">
        <f>IF(C61&gt;0,IFERROR(D61/C61,""),"")</f>
      </c>
      <c r="F61" s="5"/>
    </row>
    <row r="62" spans="1:6" x14ac:dyDescent="0.25">
      <c r="A62" s="7"/>
      <c r="B62" s="7"/>
      <c r="C62" s="7"/>
      <c r="D62" s="10">
        <f>IFERROR(SUMIFS(Composicao_Fichas!H:H,Composicao_Fichas!A:A,A62),0)</f>
      </c>
      <c r="E62" s="11">
        <f>IF(C62&gt;0,IFERROR(D62/C62,""),"")</f>
      </c>
      <c r="F62" s="5"/>
    </row>
    <row r="63" spans="1:6" x14ac:dyDescent="0.25">
      <c r="A63" s="7"/>
      <c r="B63" s="7"/>
      <c r="C63" s="7"/>
      <c r="D63" s="10">
        <f>IFERROR(SUMIFS(Composicao_Fichas!H:H,Composicao_Fichas!A:A,A63),0)</f>
      </c>
      <c r="E63" s="11">
        <f>IF(C63&gt;0,IFERROR(D63/C63,""),"")</f>
      </c>
      <c r="F63" s="5"/>
    </row>
    <row r="64" spans="1:6" x14ac:dyDescent="0.25">
      <c r="A64" s="7"/>
      <c r="B64" s="7"/>
      <c r="C64" s="7"/>
      <c r="D64" s="10">
        <f>IFERROR(SUMIFS(Composicao_Fichas!H:H,Composicao_Fichas!A:A,A64),0)</f>
      </c>
      <c r="E64" s="11">
        <f>IF(C64&gt;0,IFERROR(D64/C64,""),"")</f>
      </c>
      <c r="F64" s="5"/>
    </row>
    <row r="65" spans="1:6" x14ac:dyDescent="0.25">
      <c r="A65" s="7"/>
      <c r="B65" s="7"/>
      <c r="C65" s="7"/>
      <c r="D65" s="10">
        <f>IFERROR(SUMIFS(Composicao_Fichas!H:H,Composicao_Fichas!A:A,A65),0)</f>
      </c>
      <c r="E65" s="11">
        <f>IF(C65&gt;0,IFERROR(D65/C65,""),"")</f>
      </c>
      <c r="F65" s="5"/>
    </row>
    <row r="66" spans="1:6" x14ac:dyDescent="0.25">
      <c r="A66" s="7"/>
      <c r="B66" s="7"/>
      <c r="C66" s="7"/>
      <c r="D66" s="10">
        <f>IFERROR(SUMIFS(Composicao_Fichas!H:H,Composicao_Fichas!A:A,A66),0)</f>
      </c>
      <c r="E66" s="11">
        <f>IF(C66&gt;0,IFERROR(D66/C66,""),"")</f>
      </c>
      <c r="F66" s="5"/>
    </row>
    <row r="67" spans="1:6" x14ac:dyDescent="0.25">
      <c r="A67" s="7"/>
      <c r="B67" s="7"/>
      <c r="C67" s="7"/>
      <c r="D67" s="10">
        <f>IFERROR(SUMIFS(Composicao_Fichas!H:H,Composicao_Fichas!A:A,A67),0)</f>
      </c>
      <c r="E67" s="11">
        <f>IF(C67&gt;0,IFERROR(D67/C67,""),"")</f>
      </c>
      <c r="F67" s="5"/>
    </row>
    <row r="68" spans="1:6" x14ac:dyDescent="0.25">
      <c r="A68" s="7"/>
      <c r="B68" s="7"/>
      <c r="C68" s="7"/>
      <c r="D68" s="10">
        <f>IFERROR(SUMIFS(Composicao_Fichas!H:H,Composicao_Fichas!A:A,A68),0)</f>
      </c>
      <c r="E68" s="11">
        <f>IF(C68&gt;0,IFERROR(D68/C68,""),"")</f>
      </c>
      <c r="F68" s="5"/>
    </row>
    <row r="69" spans="1:6" x14ac:dyDescent="0.25">
      <c r="A69" s="7"/>
      <c r="B69" s="7"/>
      <c r="C69" s="7"/>
      <c r="D69" s="10">
        <f>IFERROR(SUMIFS(Composicao_Fichas!H:H,Composicao_Fichas!A:A,A69),0)</f>
      </c>
      <c r="E69" s="11">
        <f>IF(C69&gt;0,IFERROR(D69/C69,""),"")</f>
      </c>
      <c r="F69" s="5"/>
    </row>
    <row r="70" spans="1:6" x14ac:dyDescent="0.25">
      <c r="A70" s="7"/>
      <c r="B70" s="7"/>
      <c r="C70" s="7"/>
      <c r="D70" s="10">
        <f>IFERROR(SUMIFS(Composicao_Fichas!H:H,Composicao_Fichas!A:A,A70),0)</f>
      </c>
      <c r="E70" s="11">
        <f>IF(C70&gt;0,IFERROR(D70/C70,""),"")</f>
      </c>
      <c r="F70" s="5"/>
    </row>
    <row r="71" spans="1:6" x14ac:dyDescent="0.25">
      <c r="A71" s="7"/>
      <c r="B71" s="7"/>
      <c r="C71" s="7"/>
      <c r="D71" s="10">
        <f>IFERROR(SUMIFS(Composicao_Fichas!H:H,Composicao_Fichas!A:A,A71),0)</f>
      </c>
      <c r="E71" s="11">
        <f>IF(C71&gt;0,IFERROR(D71/C71,""),"")</f>
      </c>
      <c r="F71" s="5"/>
    </row>
    <row r="72" spans="1:6" x14ac:dyDescent="0.25">
      <c r="A72" s="7"/>
      <c r="B72" s="7"/>
      <c r="C72" s="7"/>
      <c r="D72" s="10">
        <f>IFERROR(SUMIFS(Composicao_Fichas!H:H,Composicao_Fichas!A:A,A72),0)</f>
      </c>
      <c r="E72" s="11">
        <f>IF(C72&gt;0,IFERROR(D72/C72,""),"")</f>
      </c>
      <c r="F72" s="5"/>
    </row>
    <row r="73" spans="1:6" x14ac:dyDescent="0.25">
      <c r="A73" s="7"/>
      <c r="B73" s="7"/>
      <c r="C73" s="7"/>
      <c r="D73" s="10">
        <f>IFERROR(SUMIFS(Composicao_Fichas!H:H,Composicao_Fichas!A:A,A73),0)</f>
      </c>
      <c r="E73" s="11">
        <f>IF(C73&gt;0,IFERROR(D73/C73,""),"")</f>
      </c>
      <c r="F73" s="5"/>
    </row>
    <row r="74" spans="1:6" x14ac:dyDescent="0.25">
      <c r="A74" s="7"/>
      <c r="B74" s="7"/>
      <c r="C74" s="7"/>
      <c r="D74" s="10">
        <f>IFERROR(SUMIFS(Composicao_Fichas!H:H,Composicao_Fichas!A:A,A74),0)</f>
      </c>
      <c r="E74" s="11">
        <f>IF(C74&gt;0,IFERROR(D74/C74,""),"")</f>
      </c>
      <c r="F74" s="5"/>
    </row>
    <row r="75" spans="1:6" x14ac:dyDescent="0.25">
      <c r="A75" s="7"/>
      <c r="B75" s="7"/>
      <c r="C75" s="7"/>
      <c r="D75" s="10">
        <f>IFERROR(SUMIFS(Composicao_Fichas!H:H,Composicao_Fichas!A:A,A75),0)</f>
      </c>
      <c r="E75" s="11">
        <f>IF(C75&gt;0,IFERROR(D75/C75,""),"")</f>
      </c>
      <c r="F75" s="5"/>
    </row>
    <row r="76" spans="1:6" x14ac:dyDescent="0.25">
      <c r="A76" s="7"/>
      <c r="B76" s="7"/>
      <c r="C76" s="7"/>
      <c r="D76" s="10">
        <f>IFERROR(SUMIFS(Composicao_Fichas!H:H,Composicao_Fichas!A:A,A76),0)</f>
      </c>
      <c r="E76" s="11">
        <f>IF(C76&gt;0,IFERROR(D76/C76,""),"")</f>
      </c>
      <c r="F76" s="5"/>
    </row>
    <row r="77" spans="1:6" x14ac:dyDescent="0.25">
      <c r="A77" s="7"/>
      <c r="B77" s="7"/>
      <c r="C77" s="7"/>
      <c r="D77" s="10">
        <f>IFERROR(SUMIFS(Composicao_Fichas!H:H,Composicao_Fichas!A:A,A77),0)</f>
      </c>
      <c r="E77" s="11">
        <f>IF(C77&gt;0,IFERROR(D77/C77,""),"")</f>
      </c>
      <c r="F77" s="5"/>
    </row>
    <row r="78" spans="1:6" x14ac:dyDescent="0.25">
      <c r="A78" s="7"/>
      <c r="B78" s="7"/>
      <c r="C78" s="7"/>
      <c r="D78" s="10">
        <f>IFERROR(SUMIFS(Composicao_Fichas!H:H,Composicao_Fichas!A:A,A78),0)</f>
      </c>
      <c r="E78" s="11">
        <f>IF(C78&gt;0,IFERROR(D78/C78,""),"")</f>
      </c>
      <c r="F78" s="5"/>
    </row>
    <row r="79" spans="1:6" x14ac:dyDescent="0.25">
      <c r="A79" s="7"/>
      <c r="B79" s="7"/>
      <c r="C79" s="7"/>
      <c r="D79" s="10">
        <f>IFERROR(SUMIFS(Composicao_Fichas!H:H,Composicao_Fichas!A:A,A79),0)</f>
      </c>
      <c r="E79" s="11">
        <f>IF(C79&gt;0,IFERROR(D79/C79,""),"")</f>
      </c>
      <c r="F79" s="5"/>
    </row>
    <row r="80" spans="1:6" x14ac:dyDescent="0.25">
      <c r="A80" s="7"/>
      <c r="B80" s="7"/>
      <c r="C80" s="7"/>
      <c r="D80" s="10">
        <f>IFERROR(SUMIFS(Composicao_Fichas!H:H,Composicao_Fichas!A:A,A80),0)</f>
      </c>
      <c r="E80" s="11">
        <f>IF(C80&gt;0,IFERROR(D80/C80,""),"")</f>
      </c>
      <c r="F80" s="5"/>
    </row>
    <row r="81" spans="1:6" x14ac:dyDescent="0.25">
      <c r="A81" s="7"/>
      <c r="B81" s="7"/>
      <c r="C81" s="7"/>
      <c r="D81" s="10">
        <f>IFERROR(SUMIFS(Composicao_Fichas!H:H,Composicao_Fichas!A:A,A81),0)</f>
      </c>
      <c r="E81" s="11">
        <f>IF(C81&gt;0,IFERROR(D81/C81,""),"")</f>
      </c>
      <c r="F81" s="5"/>
    </row>
    <row r="82" spans="1:6" x14ac:dyDescent="0.25">
      <c r="A82" s="7"/>
      <c r="B82" s="7"/>
      <c r="C82" s="7"/>
      <c r="D82" s="10">
        <f>IFERROR(SUMIFS(Composicao_Fichas!H:H,Composicao_Fichas!A:A,A82),0)</f>
      </c>
      <c r="E82" s="11">
        <f>IF(C82&gt;0,IFERROR(D82/C82,""),"")</f>
      </c>
      <c r="F82" s="5"/>
    </row>
    <row r="83" spans="1:6" x14ac:dyDescent="0.25">
      <c r="A83" s="7"/>
      <c r="B83" s="7"/>
      <c r="C83" s="7"/>
      <c r="D83" s="10">
        <f>IFERROR(SUMIFS(Composicao_Fichas!H:H,Composicao_Fichas!A:A,A83),0)</f>
      </c>
      <c r="E83" s="11">
        <f>IF(C83&gt;0,IFERROR(D83/C83,""),"")</f>
      </c>
      <c r="F83" s="5"/>
    </row>
    <row r="84" spans="1:6" x14ac:dyDescent="0.25">
      <c r="A84" s="7"/>
      <c r="B84" s="7"/>
      <c r="C84" s="7"/>
      <c r="D84" s="10">
        <f>IFERROR(SUMIFS(Composicao_Fichas!H:H,Composicao_Fichas!A:A,A84),0)</f>
      </c>
      <c r="E84" s="11">
        <f>IF(C84&gt;0,IFERROR(D84/C84,""),"")</f>
      </c>
      <c r="F84" s="5"/>
    </row>
    <row r="85" spans="1:6" x14ac:dyDescent="0.25">
      <c r="A85" s="7"/>
      <c r="B85" s="7"/>
      <c r="C85" s="7"/>
      <c r="D85" s="10">
        <f>IFERROR(SUMIFS(Composicao_Fichas!H:H,Composicao_Fichas!A:A,A85),0)</f>
      </c>
      <c r="E85" s="11">
        <f>IF(C85&gt;0,IFERROR(D85/C85,""),"")</f>
      </c>
      <c r="F85" s="5"/>
    </row>
    <row r="86" spans="1:6" x14ac:dyDescent="0.25">
      <c r="A86" s="7"/>
      <c r="B86" s="7"/>
      <c r="C86" s="7"/>
      <c r="D86" s="10">
        <f>IFERROR(SUMIFS(Composicao_Fichas!H:H,Composicao_Fichas!A:A,A86),0)</f>
      </c>
      <c r="E86" s="11">
        <f>IF(C86&gt;0,IFERROR(D86/C86,""),"")</f>
      </c>
      <c r="F86" s="5"/>
    </row>
    <row r="87" spans="1:6" x14ac:dyDescent="0.25">
      <c r="A87" s="7"/>
      <c r="B87" s="7"/>
      <c r="C87" s="7"/>
      <c r="D87" s="10">
        <f>IFERROR(SUMIFS(Composicao_Fichas!H:H,Composicao_Fichas!A:A,A87),0)</f>
      </c>
      <c r="E87" s="11">
        <f>IF(C87&gt;0,IFERROR(D87/C87,""),"")</f>
      </c>
      <c r="F87" s="5"/>
    </row>
    <row r="88" spans="1:6" x14ac:dyDescent="0.25">
      <c r="A88" s="7"/>
      <c r="B88" s="7"/>
      <c r="C88" s="7"/>
      <c r="D88" s="10">
        <f>IFERROR(SUMIFS(Composicao_Fichas!H:H,Composicao_Fichas!A:A,A88),0)</f>
      </c>
      <c r="E88" s="11">
        <f>IF(C88&gt;0,IFERROR(D88/C88,""),"")</f>
      </c>
      <c r="F88" s="5"/>
    </row>
    <row r="89" spans="1:6" x14ac:dyDescent="0.25">
      <c r="A89" s="7"/>
      <c r="B89" s="7"/>
      <c r="C89" s="7"/>
      <c r="D89" s="10">
        <f>IFERROR(SUMIFS(Composicao_Fichas!H:H,Composicao_Fichas!A:A,A89),0)</f>
      </c>
      <c r="E89" s="11">
        <f>IF(C89&gt;0,IFERROR(D89/C89,""),"")</f>
      </c>
      <c r="F89" s="5"/>
    </row>
    <row r="90" spans="1:6" x14ac:dyDescent="0.25">
      <c r="A90" s="7"/>
      <c r="B90" s="7"/>
      <c r="C90" s="7"/>
      <c r="D90" s="10">
        <f>IFERROR(SUMIFS(Composicao_Fichas!H:H,Composicao_Fichas!A:A,A90),0)</f>
      </c>
      <c r="E90" s="11">
        <f>IF(C90&gt;0,IFERROR(D90/C90,""),"")</f>
      </c>
      <c r="F90" s="5"/>
    </row>
    <row r="91" spans="1:6" x14ac:dyDescent="0.25">
      <c r="A91" s="7"/>
      <c r="B91" s="7"/>
      <c r="C91" s="7"/>
      <c r="D91" s="10">
        <f>IFERROR(SUMIFS(Composicao_Fichas!H:H,Composicao_Fichas!A:A,A91),0)</f>
      </c>
      <c r="E91" s="11">
        <f>IF(C91&gt;0,IFERROR(D91/C91,""),"")</f>
      </c>
      <c r="F91" s="5"/>
    </row>
    <row r="92" spans="1:6" x14ac:dyDescent="0.25">
      <c r="A92" s="7"/>
      <c r="B92" s="7"/>
      <c r="C92" s="7"/>
      <c r="D92" s="10">
        <f>IFERROR(SUMIFS(Composicao_Fichas!H:H,Composicao_Fichas!A:A,A92),0)</f>
      </c>
      <c r="E92" s="11">
        <f>IF(C92&gt;0,IFERROR(D92/C92,""),"")</f>
      </c>
      <c r="F92" s="5"/>
    </row>
    <row r="93" spans="1:6" x14ac:dyDescent="0.25">
      <c r="A93" s="7"/>
      <c r="B93" s="7"/>
      <c r="C93" s="7"/>
      <c r="D93" s="10">
        <f>IFERROR(SUMIFS(Composicao_Fichas!H:H,Composicao_Fichas!A:A,A93),0)</f>
      </c>
      <c r="E93" s="11">
        <f>IF(C93&gt;0,IFERROR(D93/C93,""),"")</f>
      </c>
      <c r="F93" s="5"/>
    </row>
    <row r="94" spans="1:6" x14ac:dyDescent="0.25">
      <c r="A94" s="7"/>
      <c r="B94" s="7"/>
      <c r="C94" s="7"/>
      <c r="D94" s="10">
        <f>IFERROR(SUMIFS(Composicao_Fichas!H:H,Composicao_Fichas!A:A,A94),0)</f>
      </c>
      <c r="E94" s="11">
        <f>IF(C94&gt;0,IFERROR(D94/C94,""),"")</f>
      </c>
      <c r="F94" s="5"/>
    </row>
    <row r="95" spans="1:6" x14ac:dyDescent="0.25">
      <c r="A95" s="7"/>
      <c r="B95" s="7"/>
      <c r="C95" s="7"/>
      <c r="D95" s="10">
        <f>IFERROR(SUMIFS(Composicao_Fichas!H:H,Composicao_Fichas!A:A,A95),0)</f>
      </c>
      <c r="E95" s="11">
        <f>IF(C95&gt;0,IFERROR(D95/C95,""),"")</f>
      </c>
      <c r="F95" s="5"/>
    </row>
    <row r="96" spans="1:6" x14ac:dyDescent="0.25">
      <c r="A96" s="7"/>
      <c r="B96" s="7"/>
      <c r="C96" s="7"/>
      <c r="D96" s="10">
        <f>IFERROR(SUMIFS(Composicao_Fichas!H:H,Composicao_Fichas!A:A,A96),0)</f>
      </c>
      <c r="E96" s="11">
        <f>IF(C96&gt;0,IFERROR(D96/C96,""),"")</f>
      </c>
      <c r="F96" s="5"/>
    </row>
    <row r="97" spans="1:6" x14ac:dyDescent="0.25">
      <c r="A97" s="7"/>
      <c r="B97" s="7"/>
      <c r="C97" s="7"/>
      <c r="D97" s="10">
        <f>IFERROR(SUMIFS(Composicao_Fichas!H:H,Composicao_Fichas!A:A,A97),0)</f>
      </c>
      <c r="E97" s="11">
        <f>IF(C97&gt;0,IFERROR(D97/C97,""),"")</f>
      </c>
      <c r="F97" s="5"/>
    </row>
    <row r="98" spans="1:6" x14ac:dyDescent="0.25">
      <c r="A98" s="7"/>
      <c r="B98" s="7"/>
      <c r="C98" s="7"/>
      <c r="D98" s="10">
        <f>IFERROR(SUMIFS(Composicao_Fichas!H:H,Composicao_Fichas!A:A,A98),0)</f>
      </c>
      <c r="E98" s="11">
        <f>IF(C98&gt;0,IFERROR(D98/C98,""),"")</f>
      </c>
      <c r="F98" s="5"/>
    </row>
    <row r="99" spans="1:6" x14ac:dyDescent="0.25">
      <c r="A99" s="7"/>
      <c r="B99" s="7"/>
      <c r="C99" s="7"/>
      <c r="D99" s="10">
        <f>IFERROR(SUMIFS(Composicao_Fichas!H:H,Composicao_Fichas!A:A,A99),0)</f>
      </c>
      <c r="E99" s="11">
        <f>IF(C99&gt;0,IFERROR(D99/C99,""),"")</f>
      </c>
      <c r="F99" s="5"/>
    </row>
    <row r="100" spans="1:6" x14ac:dyDescent="0.25">
      <c r="A100" s="7"/>
      <c r="B100" s="7"/>
      <c r="C100" s="7"/>
      <c r="D100" s="10">
        <f>IFERROR(SUMIFS(Composicao_Fichas!H:H,Composicao_Fichas!A:A,A100),0)</f>
      </c>
      <c r="E100" s="11">
        <f>IF(C100&gt;0,IFERROR(D100/C100,""),"")</f>
      </c>
      <c r="F100" s="5"/>
    </row>
    <row r="101" spans="1:6" x14ac:dyDescent="0.25">
      <c r="A101" s="7"/>
      <c r="B101" s="7"/>
      <c r="C101" s="7"/>
      <c r="D101" s="10">
        <f>IFERROR(SUMIFS(Composicao_Fichas!H:H,Composicao_Fichas!A:A,A101),0)</f>
      </c>
      <c r="E101" s="11">
        <f>IF(C101&gt;0,IFERROR(D101/C101,""),"")</f>
      </c>
      <c r="F101" s="5"/>
    </row>
    <row r="102" spans="1:6" x14ac:dyDescent="0.25">
      <c r="A102" s="7"/>
      <c r="B102" s="7"/>
      <c r="C102" s="7"/>
      <c r="D102" s="10">
        <f>IFERROR(SUMIFS(Composicao_Fichas!H:H,Composicao_Fichas!A:A,A102),0)</f>
      </c>
      <c r="E102" s="11">
        <f>IF(C102&gt;0,IFERROR(D102/C102,""),"")</f>
      </c>
      <c r="F102" s="5"/>
    </row>
    <row r="103" spans="1:6" x14ac:dyDescent="0.25">
      <c r="A103" s="7"/>
      <c r="B103" s="7"/>
      <c r="C103" s="7"/>
      <c r="D103" s="10">
        <f>IFERROR(SUMIFS(Composicao_Fichas!H:H,Composicao_Fichas!A:A,A103),0)</f>
      </c>
      <c r="E103" s="11">
        <f>IF(C103&gt;0,IFERROR(D103/C103,""),"")</f>
      </c>
      <c r="F103" s="5"/>
    </row>
    <row r="104" spans="1:6" x14ac:dyDescent="0.25">
      <c r="A104" s="7"/>
      <c r="B104" s="7"/>
      <c r="C104" s="7"/>
      <c r="D104" s="10">
        <f>IFERROR(SUMIFS(Composicao_Fichas!H:H,Composicao_Fichas!A:A,A104),0)</f>
      </c>
      <c r="E104" s="11">
        <f>IF(C104&gt;0,IFERROR(D104/C104,""),"")</f>
      </c>
      <c r="F104" s="5"/>
    </row>
    <row r="105" spans="1:6" x14ac:dyDescent="0.25">
      <c r="A105" s="7"/>
      <c r="B105" s="7"/>
      <c r="C105" s="7"/>
      <c r="D105" s="10">
        <f>IFERROR(SUMIFS(Composicao_Fichas!H:H,Composicao_Fichas!A:A,A105),0)</f>
      </c>
      <c r="E105" s="11">
        <f>IF(C105&gt;0,IFERROR(D105/C105,""),"")</f>
      </c>
      <c r="F105" s="5"/>
    </row>
    <row r="106" spans="1:6" x14ac:dyDescent="0.25">
      <c r="A106" s="7"/>
      <c r="B106" s="7"/>
      <c r="C106" s="7"/>
      <c r="D106" s="10">
        <f>IFERROR(SUMIFS(Composicao_Fichas!H:H,Composicao_Fichas!A:A,A106),0)</f>
      </c>
      <c r="E106" s="11">
        <f>IF(C106&gt;0,IFERROR(D106/C106,""),"")</f>
      </c>
      <c r="F106" s="5"/>
    </row>
    <row r="107" spans="1:6" x14ac:dyDescent="0.25">
      <c r="A107" s="7"/>
      <c r="B107" s="7"/>
      <c r="C107" s="7"/>
      <c r="D107" s="10">
        <f>IFERROR(SUMIFS(Composicao_Fichas!H:H,Composicao_Fichas!A:A,A107),0)</f>
      </c>
      <c r="E107" s="11">
        <f>IF(C107&gt;0,IFERROR(D107/C107,""),"")</f>
      </c>
      <c r="F107" s="5"/>
    </row>
    <row r="108" spans="1:6" x14ac:dyDescent="0.25">
      <c r="A108" s="7"/>
      <c r="B108" s="7"/>
      <c r="C108" s="7"/>
      <c r="D108" s="10">
        <f>IFERROR(SUMIFS(Composicao_Fichas!H:H,Composicao_Fichas!A:A,A108),0)</f>
      </c>
      <c r="E108" s="11">
        <f>IF(C108&gt;0,IFERROR(D108/C108,""),"")</f>
      </c>
      <c r="F108" s="5"/>
    </row>
    <row r="109" spans="1:6" x14ac:dyDescent="0.25">
      <c r="A109" s="7"/>
      <c r="B109" s="7"/>
      <c r="C109" s="7"/>
      <c r="D109" s="10">
        <f>IFERROR(SUMIFS(Composicao_Fichas!H:H,Composicao_Fichas!A:A,A109),0)</f>
      </c>
      <c r="E109" s="11">
        <f>IF(C109&gt;0,IFERROR(D109/C109,""),"")</f>
      </c>
      <c r="F109" s="5"/>
    </row>
    <row r="110" spans="1:6" x14ac:dyDescent="0.25">
      <c r="A110" s="7"/>
      <c r="B110" s="7"/>
      <c r="C110" s="7"/>
      <c r="D110" s="10">
        <f>IFERROR(SUMIFS(Composicao_Fichas!H:H,Composicao_Fichas!A:A,A110),0)</f>
      </c>
      <c r="E110" s="11">
        <f>IF(C110&gt;0,IFERROR(D110/C110,""),"")</f>
      </c>
      <c r="F110" s="5"/>
    </row>
    <row r="111" spans="1:6" x14ac:dyDescent="0.25">
      <c r="A111" s="7"/>
      <c r="B111" s="7"/>
      <c r="C111" s="7"/>
      <c r="D111" s="10">
        <f>IFERROR(SUMIFS(Composicao_Fichas!H:H,Composicao_Fichas!A:A,A111),0)</f>
      </c>
      <c r="E111" s="11">
        <f>IF(C111&gt;0,IFERROR(D111/C111,""),"")</f>
      </c>
      <c r="F111" s="5"/>
    </row>
    <row r="112" spans="1:6" x14ac:dyDescent="0.25">
      <c r="A112" s="7"/>
      <c r="B112" s="7"/>
      <c r="C112" s="7"/>
      <c r="D112" s="10">
        <f>IFERROR(SUMIFS(Composicao_Fichas!H:H,Composicao_Fichas!A:A,A112),0)</f>
      </c>
      <c r="E112" s="11">
        <f>IF(C112&gt;0,IFERROR(D112/C112,""),"")</f>
      </c>
      <c r="F112" s="5"/>
    </row>
    <row r="113" spans="1:6" x14ac:dyDescent="0.25">
      <c r="A113" s="7"/>
      <c r="B113" s="7"/>
      <c r="C113" s="7"/>
      <c r="D113" s="10">
        <f>IFERROR(SUMIFS(Composicao_Fichas!H:H,Composicao_Fichas!A:A,A113),0)</f>
      </c>
      <c r="E113" s="11">
        <f>IF(C113&gt;0,IFERROR(D113/C113,""),"")</f>
      </c>
      <c r="F113" s="5"/>
    </row>
    <row r="114" spans="1:6" x14ac:dyDescent="0.25">
      <c r="A114" s="7"/>
      <c r="B114" s="7"/>
      <c r="C114" s="7"/>
      <c r="D114" s="10">
        <f>IFERROR(SUMIFS(Composicao_Fichas!H:H,Composicao_Fichas!A:A,A114),0)</f>
      </c>
      <c r="E114" s="11">
        <f>IF(C114&gt;0,IFERROR(D114/C114,""),"")</f>
      </c>
      <c r="F114" s="5"/>
    </row>
    <row r="115" spans="1:6" x14ac:dyDescent="0.25">
      <c r="A115" s="7"/>
      <c r="B115" s="7"/>
      <c r="C115" s="7"/>
      <c r="D115" s="10">
        <f>IFERROR(SUMIFS(Composicao_Fichas!H:H,Composicao_Fichas!A:A,A115),0)</f>
      </c>
      <c r="E115" s="11">
        <f>IF(C115&gt;0,IFERROR(D115/C115,""),"")</f>
      </c>
      <c r="F115" s="5"/>
    </row>
    <row r="116" spans="1:6" x14ac:dyDescent="0.25">
      <c r="A116" s="7"/>
      <c r="B116" s="7"/>
      <c r="C116" s="7"/>
      <c r="D116" s="10">
        <f>IFERROR(SUMIFS(Composicao_Fichas!H:H,Composicao_Fichas!A:A,A116),0)</f>
      </c>
      <c r="E116" s="11">
        <f>IF(C116&gt;0,IFERROR(D116/C116,""),"")</f>
      </c>
      <c r="F116" s="5"/>
    </row>
    <row r="117" spans="1:6" x14ac:dyDescent="0.25">
      <c r="A117" s="7"/>
      <c r="B117" s="7"/>
      <c r="C117" s="7"/>
      <c r="D117" s="10">
        <f>IFERROR(SUMIFS(Composicao_Fichas!H:H,Composicao_Fichas!A:A,A117),0)</f>
      </c>
      <c r="E117" s="11">
        <f>IF(C117&gt;0,IFERROR(D117/C117,""),"")</f>
      </c>
      <c r="F117" s="5"/>
    </row>
    <row r="118" spans="1:6" x14ac:dyDescent="0.25">
      <c r="A118" s="7"/>
      <c r="B118" s="7"/>
      <c r="C118" s="7"/>
      <c r="D118" s="10">
        <f>IFERROR(SUMIFS(Composicao_Fichas!H:H,Composicao_Fichas!A:A,A118),0)</f>
      </c>
      <c r="E118" s="11">
        <f>IF(C118&gt;0,IFERROR(D118/C118,""),"")</f>
      </c>
      <c r="F118" s="5"/>
    </row>
    <row r="119" spans="1:6" x14ac:dyDescent="0.25">
      <c r="A119" s="7"/>
      <c r="B119" s="7"/>
      <c r="C119" s="7"/>
      <c r="D119" s="10">
        <f>IFERROR(SUMIFS(Composicao_Fichas!H:H,Composicao_Fichas!A:A,A119),0)</f>
      </c>
      <c r="E119" s="11">
        <f>IF(C119&gt;0,IFERROR(D119/C119,""),"")</f>
      </c>
      <c r="F119" s="5"/>
    </row>
    <row r="120" spans="1:6" x14ac:dyDescent="0.25">
      <c r="A120" s="7"/>
      <c r="B120" s="7"/>
      <c r="C120" s="7"/>
      <c r="D120" s="10">
        <f>IFERROR(SUMIFS(Composicao_Fichas!H:H,Composicao_Fichas!A:A,A120),0)</f>
      </c>
      <c r="E120" s="11">
        <f>IF(C120&gt;0,IFERROR(D120/C120,""),"")</f>
      </c>
      <c r="F120" s="5"/>
    </row>
    <row r="121" spans="1:6" x14ac:dyDescent="0.25">
      <c r="A121" s="7"/>
      <c r="B121" s="7"/>
      <c r="C121" s="7"/>
      <c r="D121" s="10">
        <f>IFERROR(SUMIFS(Composicao_Fichas!H:H,Composicao_Fichas!A:A,A121),0)</f>
      </c>
      <c r="E121" s="11">
        <f>IF(C121&gt;0,IFERROR(D121/C121,""),"")</f>
      </c>
      <c r="F121" s="5"/>
    </row>
    <row r="122" spans="1:6" x14ac:dyDescent="0.25">
      <c r="A122" s="7"/>
      <c r="B122" s="7"/>
      <c r="C122" s="7"/>
      <c r="D122" s="10">
        <f>IFERROR(SUMIFS(Composicao_Fichas!H:H,Composicao_Fichas!A:A,A122),0)</f>
      </c>
      <c r="E122" s="11">
        <f>IF(C122&gt;0,IFERROR(D122/C122,""),"")</f>
      </c>
      <c r="F122" s="5"/>
    </row>
    <row r="123" spans="1:6" x14ac:dyDescent="0.25">
      <c r="A123" s="7"/>
      <c r="B123" s="7"/>
      <c r="C123" s="7"/>
      <c r="D123" s="10">
        <f>IFERROR(SUMIFS(Composicao_Fichas!H:H,Composicao_Fichas!A:A,A123),0)</f>
      </c>
      <c r="E123" s="11">
        <f>IF(C123&gt;0,IFERROR(D123/C123,""),"")</f>
      </c>
      <c r="F123" s="5"/>
    </row>
    <row r="124" spans="1:6" x14ac:dyDescent="0.25">
      <c r="A124" s="7"/>
      <c r="B124" s="7"/>
      <c r="C124" s="7"/>
      <c r="D124" s="10">
        <f>IFERROR(SUMIFS(Composicao_Fichas!H:H,Composicao_Fichas!A:A,A124),0)</f>
      </c>
      <c r="E124" s="11">
        <f>IF(C124&gt;0,IFERROR(D124/C124,""),"")</f>
      </c>
      <c r="F124" s="5"/>
    </row>
    <row r="125" spans="1:6" x14ac:dyDescent="0.25">
      <c r="A125" s="7"/>
      <c r="B125" s="7"/>
      <c r="C125" s="7"/>
      <c r="D125" s="10">
        <f>IFERROR(SUMIFS(Composicao_Fichas!H:H,Composicao_Fichas!A:A,A125),0)</f>
      </c>
      <c r="E125" s="11">
        <f>IF(C125&gt;0,IFERROR(D125/C125,""),"")</f>
      </c>
      <c r="F125" s="5"/>
    </row>
    <row r="126" spans="1:6" x14ac:dyDescent="0.25">
      <c r="A126" s="7"/>
      <c r="B126" s="7"/>
      <c r="C126" s="7"/>
      <c r="D126" s="10">
        <f>IFERROR(SUMIFS(Composicao_Fichas!H:H,Composicao_Fichas!A:A,A126),0)</f>
      </c>
      <c r="E126" s="11">
        <f>IF(C126&gt;0,IFERROR(D126/C126,""),"")</f>
      </c>
      <c r="F126" s="5"/>
    </row>
    <row r="127" spans="1:6" x14ac:dyDescent="0.25">
      <c r="A127" s="7"/>
      <c r="B127" s="7"/>
      <c r="C127" s="7"/>
      <c r="D127" s="10">
        <f>IFERROR(SUMIFS(Composicao_Fichas!H:H,Composicao_Fichas!A:A,A127),0)</f>
      </c>
      <c r="E127" s="11">
        <f>IF(C127&gt;0,IFERROR(D127/C127,""),"")</f>
      </c>
      <c r="F127" s="5"/>
    </row>
    <row r="128" spans="1:6" x14ac:dyDescent="0.25">
      <c r="A128" s="7"/>
      <c r="B128" s="7"/>
      <c r="C128" s="7"/>
      <c r="D128" s="10">
        <f>IFERROR(SUMIFS(Composicao_Fichas!H:H,Composicao_Fichas!A:A,A128),0)</f>
      </c>
      <c r="E128" s="11">
        <f>IF(C128&gt;0,IFERROR(D128/C128,""),"")</f>
      </c>
      <c r="F128" s="5"/>
    </row>
    <row r="129" spans="1:6" x14ac:dyDescent="0.25">
      <c r="A129" s="7"/>
      <c r="B129" s="7"/>
      <c r="C129" s="7"/>
      <c r="D129" s="10">
        <f>IFERROR(SUMIFS(Composicao_Fichas!H:H,Composicao_Fichas!A:A,A129),0)</f>
      </c>
      <c r="E129" s="11">
        <f>IF(C129&gt;0,IFERROR(D129/C129,""),"")</f>
      </c>
      <c r="F129" s="5"/>
    </row>
    <row r="130" spans="1:6" x14ac:dyDescent="0.25">
      <c r="A130" s="7"/>
      <c r="B130" s="7"/>
      <c r="C130" s="7"/>
      <c r="D130" s="10">
        <f>IFERROR(SUMIFS(Composicao_Fichas!H:H,Composicao_Fichas!A:A,A130),0)</f>
      </c>
      <c r="E130" s="11">
        <f>IF(C130&gt;0,IFERROR(D130/C130,""),"")</f>
      </c>
      <c r="F130" s="5"/>
    </row>
    <row r="131" spans="1:6" x14ac:dyDescent="0.25">
      <c r="A131" s="7"/>
      <c r="B131" s="7"/>
      <c r="C131" s="7"/>
      <c r="D131" s="10">
        <f>IFERROR(SUMIFS(Composicao_Fichas!H:H,Composicao_Fichas!A:A,A131),0)</f>
      </c>
      <c r="E131" s="11">
        <f>IF(C131&gt;0,IFERROR(D131/C131,""),"")</f>
      </c>
      <c r="F131" s="5"/>
    </row>
    <row r="132" spans="1:6" x14ac:dyDescent="0.25">
      <c r="A132" s="7"/>
      <c r="B132" s="7"/>
      <c r="C132" s="7"/>
      <c r="D132" s="10">
        <f>IFERROR(SUMIFS(Composicao_Fichas!H:H,Composicao_Fichas!A:A,A132),0)</f>
      </c>
      <c r="E132" s="11">
        <f>IF(C132&gt;0,IFERROR(D132/C132,""),"")</f>
      </c>
      <c r="F132" s="5"/>
    </row>
    <row r="133" spans="1:6" x14ac:dyDescent="0.25">
      <c r="A133" s="7"/>
      <c r="B133" s="7"/>
      <c r="C133" s="7"/>
      <c r="D133" s="10">
        <f>IFERROR(SUMIFS(Composicao_Fichas!H:H,Composicao_Fichas!A:A,A133),0)</f>
      </c>
      <c r="E133" s="11">
        <f>IF(C133&gt;0,IFERROR(D133/C133,""),"")</f>
      </c>
      <c r="F133" s="5"/>
    </row>
    <row r="134" spans="1:6" x14ac:dyDescent="0.25">
      <c r="A134" s="7"/>
      <c r="B134" s="7"/>
      <c r="C134" s="7"/>
      <c r="D134" s="10">
        <f>IFERROR(SUMIFS(Composicao_Fichas!H:H,Composicao_Fichas!A:A,A134),0)</f>
      </c>
      <c r="E134" s="11">
        <f>IF(C134&gt;0,IFERROR(D134/C134,""),"")</f>
      </c>
      <c r="F134" s="5"/>
    </row>
    <row r="135" spans="1:6" x14ac:dyDescent="0.25">
      <c r="A135" s="7"/>
      <c r="B135" s="7"/>
      <c r="C135" s="7"/>
      <c r="D135" s="10">
        <f>IFERROR(SUMIFS(Composicao_Fichas!H:H,Composicao_Fichas!A:A,A135),0)</f>
      </c>
      <c r="E135" s="11">
        <f>IF(C135&gt;0,IFERROR(D135/C135,""),"")</f>
      </c>
      <c r="F135" s="5"/>
    </row>
    <row r="136" spans="1:6" x14ac:dyDescent="0.25">
      <c r="A136" s="7"/>
      <c r="B136" s="7"/>
      <c r="C136" s="7"/>
      <c r="D136" s="10">
        <f>IFERROR(SUMIFS(Composicao_Fichas!H:H,Composicao_Fichas!A:A,A136),0)</f>
      </c>
      <c r="E136" s="11">
        <f>IF(C136&gt;0,IFERROR(D136/C136,""),"")</f>
      </c>
      <c r="F136" s="5"/>
    </row>
    <row r="137" spans="1:6" x14ac:dyDescent="0.25">
      <c r="A137" s="7"/>
      <c r="B137" s="7"/>
      <c r="C137" s="7"/>
      <c r="D137" s="10">
        <f>IFERROR(SUMIFS(Composicao_Fichas!H:H,Composicao_Fichas!A:A,A137),0)</f>
      </c>
      <c r="E137" s="11">
        <f>IF(C137&gt;0,IFERROR(D137/C137,""),"")</f>
      </c>
      <c r="F137" s="5"/>
    </row>
    <row r="138" spans="1:6" x14ac:dyDescent="0.25">
      <c r="A138" s="7"/>
      <c r="B138" s="7"/>
      <c r="C138" s="7"/>
      <c r="D138" s="10">
        <f>IFERROR(SUMIFS(Composicao_Fichas!H:H,Composicao_Fichas!A:A,A138),0)</f>
      </c>
      <c r="E138" s="11">
        <f>IF(C138&gt;0,IFERROR(D138/C138,""),"")</f>
      </c>
      <c r="F138" s="5"/>
    </row>
    <row r="139" spans="1:6" x14ac:dyDescent="0.25">
      <c r="A139" s="7"/>
      <c r="B139" s="7"/>
      <c r="C139" s="7"/>
      <c r="D139" s="10">
        <f>IFERROR(SUMIFS(Composicao_Fichas!H:H,Composicao_Fichas!A:A,A139),0)</f>
      </c>
      <c r="E139" s="11">
        <f>IF(C139&gt;0,IFERROR(D139/C139,""),"")</f>
      </c>
      <c r="F139" s="5"/>
    </row>
    <row r="140" spans="1:6" x14ac:dyDescent="0.25">
      <c r="A140" s="7"/>
      <c r="B140" s="7"/>
      <c r="C140" s="7"/>
      <c r="D140" s="10">
        <f>IFERROR(SUMIFS(Composicao_Fichas!H:H,Composicao_Fichas!A:A,A140),0)</f>
      </c>
      <c r="E140" s="11">
        <f>IF(C140&gt;0,IFERROR(D140/C140,""),"")</f>
      </c>
      <c r="F140" s="5"/>
    </row>
    <row r="141" spans="1:6" x14ac:dyDescent="0.25">
      <c r="A141" s="7"/>
      <c r="B141" s="7"/>
      <c r="C141" s="7"/>
      <c r="D141" s="10">
        <f>IFERROR(SUMIFS(Composicao_Fichas!H:H,Composicao_Fichas!A:A,A141),0)</f>
      </c>
      <c r="E141" s="11">
        <f>IF(C141&gt;0,IFERROR(D141/C141,""),"")</f>
      </c>
      <c r="F141" s="5"/>
    </row>
    <row r="142" spans="1:6" x14ac:dyDescent="0.25">
      <c r="A142" s="7"/>
      <c r="B142" s="7"/>
      <c r="C142" s="7"/>
      <c r="D142" s="10">
        <f>IFERROR(SUMIFS(Composicao_Fichas!H:H,Composicao_Fichas!A:A,A142),0)</f>
      </c>
      <c r="E142" s="11">
        <f>IF(C142&gt;0,IFERROR(D142/C142,""),"")</f>
      </c>
      <c r="F142" s="5"/>
    </row>
    <row r="143" spans="1:6" x14ac:dyDescent="0.25">
      <c r="A143" s="7"/>
      <c r="B143" s="7"/>
      <c r="C143" s="7"/>
      <c r="D143" s="10">
        <f>IFERROR(SUMIFS(Composicao_Fichas!H:H,Composicao_Fichas!A:A,A143),0)</f>
      </c>
      <c r="E143" s="11">
        <f>IF(C143&gt;0,IFERROR(D143/C143,""),"")</f>
      </c>
      <c r="F143" s="5"/>
    </row>
    <row r="144" spans="1:6" x14ac:dyDescent="0.25">
      <c r="A144" s="7"/>
      <c r="B144" s="7"/>
      <c r="C144" s="7"/>
      <c r="D144" s="10">
        <f>IFERROR(SUMIFS(Composicao_Fichas!H:H,Composicao_Fichas!A:A,A144),0)</f>
      </c>
      <c r="E144" s="11">
        <f>IF(C144&gt;0,IFERROR(D144/C144,""),"")</f>
      </c>
      <c r="F144" s="5"/>
    </row>
    <row r="145" spans="1:6" x14ac:dyDescent="0.25">
      <c r="A145" s="7"/>
      <c r="B145" s="7"/>
      <c r="C145" s="7"/>
      <c r="D145" s="10">
        <f>IFERROR(SUMIFS(Composicao_Fichas!H:H,Composicao_Fichas!A:A,A145),0)</f>
      </c>
      <c r="E145" s="11">
        <f>IF(C145&gt;0,IFERROR(D145/C145,""),"")</f>
      </c>
      <c r="F145" s="5"/>
    </row>
    <row r="146" spans="1:6" x14ac:dyDescent="0.25">
      <c r="A146" s="7"/>
      <c r="B146" s="7"/>
      <c r="C146" s="7"/>
      <c r="D146" s="10">
        <f>IFERROR(SUMIFS(Composicao_Fichas!H:H,Composicao_Fichas!A:A,A146),0)</f>
      </c>
      <c r="E146" s="11">
        <f>IF(C146&gt;0,IFERROR(D146/C146,""),"")</f>
      </c>
      <c r="F146" s="5"/>
    </row>
    <row r="147" spans="1:6" x14ac:dyDescent="0.25">
      <c r="A147" s="7"/>
      <c r="B147" s="7"/>
      <c r="C147" s="7"/>
      <c r="D147" s="10">
        <f>IFERROR(SUMIFS(Composicao_Fichas!H:H,Composicao_Fichas!A:A,A147),0)</f>
      </c>
      <c r="E147" s="11">
        <f>IF(C147&gt;0,IFERROR(D147/C147,""),"")</f>
      </c>
      <c r="F147" s="5"/>
    </row>
    <row r="148" spans="1:6" x14ac:dyDescent="0.25">
      <c r="A148" s="7"/>
      <c r="B148" s="7"/>
      <c r="C148" s="7"/>
      <c r="D148" s="10">
        <f>IFERROR(SUMIFS(Composicao_Fichas!H:H,Composicao_Fichas!A:A,A148),0)</f>
      </c>
      <c r="E148" s="11">
        <f>IF(C148&gt;0,IFERROR(D148/C148,""),"")</f>
      </c>
      <c r="F148" s="5"/>
    </row>
    <row r="149" spans="1:6" x14ac:dyDescent="0.25">
      <c r="A149" s="7"/>
      <c r="B149" s="7"/>
      <c r="C149" s="7"/>
      <c r="D149" s="10">
        <f>IFERROR(SUMIFS(Composicao_Fichas!H:H,Composicao_Fichas!A:A,A149),0)</f>
      </c>
      <c r="E149" s="11">
        <f>IF(C149&gt;0,IFERROR(D149/C149,""),"")</f>
      </c>
      <c r="F149" s="5"/>
    </row>
    <row r="150" spans="1:6" x14ac:dyDescent="0.25">
      <c r="A150" s="7"/>
      <c r="B150" s="7"/>
      <c r="C150" s="7"/>
      <c r="D150" s="10">
        <f>IFERROR(SUMIFS(Composicao_Fichas!H:H,Composicao_Fichas!A:A,A150),0)</f>
      </c>
      <c r="E150" s="11">
        <f>IF(C150&gt;0,IFERROR(D150/C150,""),"")</f>
      </c>
      <c r="F150" s="5"/>
    </row>
    <row r="151" spans="1:6" x14ac:dyDescent="0.25">
      <c r="A151" s="7"/>
      <c r="B151" s="7"/>
      <c r="C151" s="7"/>
      <c r="D151" s="10">
        <f>IFERROR(SUMIFS(Composicao_Fichas!H:H,Composicao_Fichas!A:A,A151),0)</f>
      </c>
      <c r="E151" s="11">
        <f>IF(C151&gt;0,IFERROR(D151/C151,""),"")</f>
      </c>
      <c r="F151" s="5"/>
    </row>
    <row r="152" spans="1:6" x14ac:dyDescent="0.25">
      <c r="A152" s="7"/>
      <c r="B152" s="7"/>
      <c r="C152" s="7"/>
      <c r="D152" s="10">
        <f>IFERROR(SUMIFS(Composicao_Fichas!H:H,Composicao_Fichas!A:A,A152),0)</f>
      </c>
      <c r="E152" s="11">
        <f>IF(C152&gt;0,IFERROR(D152/C152,""),"")</f>
      </c>
      <c r="F152" s="5"/>
    </row>
    <row r="153" spans="1:6" x14ac:dyDescent="0.25">
      <c r="A153" s="7"/>
      <c r="B153" s="7"/>
      <c r="C153" s="7"/>
      <c r="D153" s="10">
        <f>IFERROR(SUMIFS(Composicao_Fichas!H:H,Composicao_Fichas!A:A,A153),0)</f>
      </c>
      <c r="E153" s="11">
        <f>IF(C153&gt;0,IFERROR(D153/C153,""),"")</f>
      </c>
      <c r="F153" s="5"/>
    </row>
    <row r="154" spans="1:6" x14ac:dyDescent="0.25">
      <c r="A154" s="7"/>
      <c r="B154" s="7"/>
      <c r="C154" s="7"/>
      <c r="D154" s="10">
        <f>IFERROR(SUMIFS(Composicao_Fichas!H:H,Composicao_Fichas!A:A,A154),0)</f>
      </c>
      <c r="E154" s="11">
        <f>IF(C154&gt;0,IFERROR(D154/C154,""),"")</f>
      </c>
      <c r="F154" s="5"/>
    </row>
    <row r="155" spans="1:6" x14ac:dyDescent="0.25">
      <c r="A155" s="7"/>
      <c r="B155" s="7"/>
      <c r="C155" s="7"/>
      <c r="D155" s="10">
        <f>IFERROR(SUMIFS(Composicao_Fichas!H:H,Composicao_Fichas!A:A,A155),0)</f>
      </c>
      <c r="E155" s="11">
        <f>IF(C155&gt;0,IFERROR(D155/C155,""),"")</f>
      </c>
      <c r="F155" s="5"/>
    </row>
    <row r="156" spans="1:6" x14ac:dyDescent="0.25">
      <c r="A156" s="7"/>
      <c r="B156" s="7"/>
      <c r="C156" s="7"/>
      <c r="D156" s="10">
        <f>IFERROR(SUMIFS(Composicao_Fichas!H:H,Composicao_Fichas!A:A,A156),0)</f>
      </c>
      <c r="E156" s="11">
        <f>IF(C156&gt;0,IFERROR(D156/C156,""),"")</f>
      </c>
      <c r="F156" s="5"/>
    </row>
    <row r="157" spans="1:6" x14ac:dyDescent="0.25">
      <c r="A157" s="7"/>
      <c r="B157" s="7"/>
      <c r="C157" s="7"/>
      <c r="D157" s="10">
        <f>IFERROR(SUMIFS(Composicao_Fichas!H:H,Composicao_Fichas!A:A,A157),0)</f>
      </c>
      <c r="E157" s="11">
        <f>IF(C157&gt;0,IFERROR(D157/C157,""),"")</f>
      </c>
      <c r="F157" s="5"/>
    </row>
    <row r="158" spans="1:6" x14ac:dyDescent="0.25">
      <c r="A158" s="7"/>
      <c r="B158" s="7"/>
      <c r="C158" s="7"/>
      <c r="D158" s="10">
        <f>IFERROR(SUMIFS(Composicao_Fichas!H:H,Composicao_Fichas!A:A,A158),0)</f>
      </c>
      <c r="E158" s="11">
        <f>IF(C158&gt;0,IFERROR(D158/C158,""),"")</f>
      </c>
      <c r="F158" s="5"/>
    </row>
    <row r="159" spans="1:6" x14ac:dyDescent="0.25">
      <c r="A159" s="7"/>
      <c r="B159" s="7"/>
      <c r="C159" s="7"/>
      <c r="D159" s="10">
        <f>IFERROR(SUMIFS(Composicao_Fichas!H:H,Composicao_Fichas!A:A,A159),0)</f>
      </c>
      <c r="E159" s="11">
        <f>IF(C159&gt;0,IFERROR(D159/C159,""),"")</f>
      </c>
      <c r="F159" s="5"/>
    </row>
    <row r="160" spans="1:6" x14ac:dyDescent="0.25">
      <c r="A160" s="7"/>
      <c r="B160" s="7"/>
      <c r="C160" s="7"/>
      <c r="D160" s="10">
        <f>IFERROR(SUMIFS(Composicao_Fichas!H:H,Composicao_Fichas!A:A,A160),0)</f>
      </c>
      <c r="E160" s="11">
        <f>IF(C160&gt;0,IFERROR(D160/C160,""),"")</f>
      </c>
      <c r="F160" s="5"/>
    </row>
    <row r="161" spans="1:6" x14ac:dyDescent="0.25">
      <c r="A161" s="7"/>
      <c r="B161" s="7"/>
      <c r="C161" s="7"/>
      <c r="D161" s="10">
        <f>IFERROR(SUMIFS(Composicao_Fichas!H:H,Composicao_Fichas!A:A,A161),0)</f>
      </c>
      <c r="E161" s="11">
        <f>IF(C161&gt;0,IFERROR(D161/C161,""),"")</f>
      </c>
      <c r="F161" s="5"/>
    </row>
    <row r="162" spans="1:6" x14ac:dyDescent="0.25">
      <c r="A162" s="7"/>
      <c r="B162" s="7"/>
      <c r="C162" s="7"/>
      <c r="D162" s="10">
        <f>IFERROR(SUMIFS(Composicao_Fichas!H:H,Composicao_Fichas!A:A,A162),0)</f>
      </c>
      <c r="E162" s="11">
        <f>IF(C162&gt;0,IFERROR(D162/C162,""),"")</f>
      </c>
      <c r="F162" s="5"/>
    </row>
    <row r="163" spans="1:6" x14ac:dyDescent="0.25">
      <c r="A163" s="7"/>
      <c r="B163" s="7"/>
      <c r="C163" s="7"/>
      <c r="D163" s="10">
        <f>IFERROR(SUMIFS(Composicao_Fichas!H:H,Composicao_Fichas!A:A,A163),0)</f>
      </c>
      <c r="E163" s="11">
        <f>IF(C163&gt;0,IFERROR(D163/C163,""),"")</f>
      </c>
      <c r="F163" s="5"/>
    </row>
    <row r="164" spans="1:6" x14ac:dyDescent="0.25">
      <c r="A164" s="7"/>
      <c r="B164" s="7"/>
      <c r="C164" s="7"/>
      <c r="D164" s="10">
        <f>IFERROR(SUMIFS(Composicao_Fichas!H:H,Composicao_Fichas!A:A,A164),0)</f>
      </c>
      <c r="E164" s="11">
        <f>IF(C164&gt;0,IFERROR(D164/C164,""),"")</f>
      </c>
      <c r="F164" s="5"/>
    </row>
    <row r="165" spans="1:6" x14ac:dyDescent="0.25">
      <c r="A165" s="7"/>
      <c r="B165" s="7"/>
      <c r="C165" s="7"/>
      <c r="D165" s="10">
        <f>IFERROR(SUMIFS(Composicao_Fichas!H:H,Composicao_Fichas!A:A,A165),0)</f>
      </c>
      <c r="E165" s="11">
        <f>IF(C165&gt;0,IFERROR(D165/C165,""),"")</f>
      </c>
      <c r="F165" s="5"/>
    </row>
    <row r="166" spans="1:6" x14ac:dyDescent="0.25">
      <c r="A166" s="7"/>
      <c r="B166" s="7"/>
      <c r="C166" s="7"/>
      <c r="D166" s="10">
        <f>IFERROR(SUMIFS(Composicao_Fichas!H:H,Composicao_Fichas!A:A,A166),0)</f>
      </c>
      <c r="E166" s="11">
        <f>IF(C166&gt;0,IFERROR(D166/C166,""),"")</f>
      </c>
      <c r="F166" s="5"/>
    </row>
    <row r="167" spans="1:6" x14ac:dyDescent="0.25">
      <c r="A167" s="7"/>
      <c r="B167" s="7"/>
      <c r="C167" s="7"/>
      <c r="D167" s="10">
        <f>IFERROR(SUMIFS(Composicao_Fichas!H:H,Composicao_Fichas!A:A,A167),0)</f>
      </c>
      <c r="E167" s="11">
        <f>IF(C167&gt;0,IFERROR(D167/C167,""),"")</f>
      </c>
      <c r="F167" s="5"/>
    </row>
    <row r="168" spans="1:6" x14ac:dyDescent="0.25">
      <c r="A168" s="7"/>
      <c r="B168" s="7"/>
      <c r="C168" s="7"/>
      <c r="D168" s="10">
        <f>IFERROR(SUMIFS(Composicao_Fichas!H:H,Composicao_Fichas!A:A,A168),0)</f>
      </c>
      <c r="E168" s="11">
        <f>IF(C168&gt;0,IFERROR(D168/C168,""),"")</f>
      </c>
      <c r="F168" s="5"/>
    </row>
    <row r="169" spans="1:6" x14ac:dyDescent="0.25">
      <c r="A169" s="7"/>
      <c r="B169" s="7"/>
      <c r="C169" s="7"/>
      <c r="D169" s="10">
        <f>IFERROR(SUMIFS(Composicao_Fichas!H:H,Composicao_Fichas!A:A,A169),0)</f>
      </c>
      <c r="E169" s="11">
        <f>IF(C169&gt;0,IFERROR(D169/C169,""),"")</f>
      </c>
      <c r="F169" s="5"/>
    </row>
    <row r="170" spans="1:6" x14ac:dyDescent="0.25">
      <c r="A170" s="7"/>
      <c r="B170" s="7"/>
      <c r="C170" s="7"/>
      <c r="D170" s="10">
        <f>IFERROR(SUMIFS(Composicao_Fichas!H:H,Composicao_Fichas!A:A,A170),0)</f>
      </c>
      <c r="E170" s="11">
        <f>IF(C170&gt;0,IFERROR(D170/C170,""),"")</f>
      </c>
      <c r="F170" s="5"/>
    </row>
    <row r="171" spans="1:6" x14ac:dyDescent="0.25">
      <c r="A171" s="7"/>
      <c r="B171" s="7"/>
      <c r="C171" s="7"/>
      <c r="D171" s="10">
        <f>IFERROR(SUMIFS(Composicao_Fichas!H:H,Composicao_Fichas!A:A,A171),0)</f>
      </c>
      <c r="E171" s="11">
        <f>IF(C171&gt;0,IFERROR(D171/C171,""),"")</f>
      </c>
      <c r="F171" s="5"/>
    </row>
    <row r="172" spans="1:6" x14ac:dyDescent="0.25">
      <c r="A172" s="7"/>
      <c r="B172" s="7"/>
      <c r="C172" s="7"/>
      <c r="D172" s="10">
        <f>IFERROR(SUMIFS(Composicao_Fichas!H:H,Composicao_Fichas!A:A,A172),0)</f>
      </c>
      <c r="E172" s="11">
        <f>IF(C172&gt;0,IFERROR(D172/C172,""),"")</f>
      </c>
      <c r="F172" s="5"/>
    </row>
    <row r="173" spans="1:6" x14ac:dyDescent="0.25">
      <c r="A173" s="7"/>
      <c r="B173" s="7"/>
      <c r="C173" s="7"/>
      <c r="D173" s="10">
        <f>IFERROR(SUMIFS(Composicao_Fichas!H:H,Composicao_Fichas!A:A,A173),0)</f>
      </c>
      <c r="E173" s="11">
        <f>IF(C173&gt;0,IFERROR(D173/C173,""),"")</f>
      </c>
      <c r="F173" s="5"/>
    </row>
    <row r="174" spans="1:6" x14ac:dyDescent="0.25">
      <c r="A174" s="7"/>
      <c r="B174" s="7"/>
      <c r="C174" s="7"/>
      <c r="D174" s="10">
        <f>IFERROR(SUMIFS(Composicao_Fichas!H:H,Composicao_Fichas!A:A,A174),0)</f>
      </c>
      <c r="E174" s="11">
        <f>IF(C174&gt;0,IFERROR(D174/C174,""),"")</f>
      </c>
      <c r="F174" s="5"/>
    </row>
    <row r="175" spans="1:6" x14ac:dyDescent="0.25">
      <c r="A175" s="7"/>
      <c r="B175" s="7"/>
      <c r="C175" s="7"/>
      <c r="D175" s="10">
        <f>IFERROR(SUMIFS(Composicao_Fichas!H:H,Composicao_Fichas!A:A,A175),0)</f>
      </c>
      <c r="E175" s="11">
        <f>IF(C175&gt;0,IFERROR(D175/C175,""),"")</f>
      </c>
      <c r="F175" s="5"/>
    </row>
    <row r="176" spans="1:6" x14ac:dyDescent="0.25">
      <c r="A176" s="7"/>
      <c r="B176" s="7"/>
      <c r="C176" s="7"/>
      <c r="D176" s="10">
        <f>IFERROR(SUMIFS(Composicao_Fichas!H:H,Composicao_Fichas!A:A,A176),0)</f>
      </c>
      <c r="E176" s="11">
        <f>IF(C176&gt;0,IFERROR(D176/C176,""),"")</f>
      </c>
      <c r="F176" s="5"/>
    </row>
    <row r="177" spans="1:6" x14ac:dyDescent="0.25">
      <c r="A177" s="7"/>
      <c r="B177" s="7"/>
      <c r="C177" s="7"/>
      <c r="D177" s="10">
        <f>IFERROR(SUMIFS(Composicao_Fichas!H:H,Composicao_Fichas!A:A,A177),0)</f>
      </c>
      <c r="E177" s="11">
        <f>IF(C177&gt;0,IFERROR(D177/C177,""),"")</f>
      </c>
      <c r="F177" s="5"/>
    </row>
    <row r="178" spans="1:6" x14ac:dyDescent="0.25">
      <c r="A178" s="7"/>
      <c r="B178" s="7"/>
      <c r="C178" s="7"/>
      <c r="D178" s="10">
        <f>IFERROR(SUMIFS(Composicao_Fichas!H:H,Composicao_Fichas!A:A,A178),0)</f>
      </c>
      <c r="E178" s="11">
        <f>IF(C178&gt;0,IFERROR(D178/C178,""),"")</f>
      </c>
      <c r="F178" s="5"/>
    </row>
    <row r="179" spans="1:6" x14ac:dyDescent="0.25">
      <c r="A179" s="7"/>
      <c r="B179" s="7"/>
      <c r="C179" s="7"/>
      <c r="D179" s="10">
        <f>IFERROR(SUMIFS(Composicao_Fichas!H:H,Composicao_Fichas!A:A,A179),0)</f>
      </c>
      <c r="E179" s="11">
        <f>IF(C179&gt;0,IFERROR(D179/C179,""),"")</f>
      </c>
      <c r="F179" s="5"/>
    </row>
    <row r="180" spans="1:6" x14ac:dyDescent="0.25">
      <c r="A180" s="7"/>
      <c r="B180" s="7"/>
      <c r="C180" s="7"/>
      <c r="D180" s="10">
        <f>IFERROR(SUMIFS(Composicao_Fichas!H:H,Composicao_Fichas!A:A,A180),0)</f>
      </c>
      <c r="E180" s="11">
        <f>IF(C180&gt;0,IFERROR(D180/C180,""),"")</f>
      </c>
      <c r="F180" s="5"/>
    </row>
    <row r="181" spans="1:6" x14ac:dyDescent="0.25">
      <c r="A181" s="7"/>
      <c r="B181" s="7"/>
      <c r="C181" s="7"/>
      <c r="D181" s="10">
        <f>IFERROR(SUMIFS(Composicao_Fichas!H:H,Composicao_Fichas!A:A,A181),0)</f>
      </c>
      <c r="E181" s="11">
        <f>IF(C181&gt;0,IFERROR(D181/C181,""),"")</f>
      </c>
      <c r="F181" s="5"/>
    </row>
    <row r="182" spans="1:6" x14ac:dyDescent="0.25">
      <c r="A182" s="7"/>
      <c r="B182" s="7"/>
      <c r="C182" s="7"/>
      <c r="D182" s="10">
        <f>IFERROR(SUMIFS(Composicao_Fichas!H:H,Composicao_Fichas!A:A,A182),0)</f>
      </c>
      <c r="E182" s="11">
        <f>IF(C182&gt;0,IFERROR(D182/C182,""),"")</f>
      </c>
      <c r="F182" s="5"/>
    </row>
    <row r="183" spans="1:6" x14ac:dyDescent="0.25">
      <c r="A183" s="7"/>
      <c r="B183" s="7"/>
      <c r="C183" s="7"/>
      <c r="D183" s="10">
        <f>IFERROR(SUMIFS(Composicao_Fichas!H:H,Composicao_Fichas!A:A,A183),0)</f>
      </c>
      <c r="E183" s="11">
        <f>IF(C183&gt;0,IFERROR(D183/C183,""),"")</f>
      </c>
      <c r="F183" s="5"/>
    </row>
    <row r="184" spans="1:6" x14ac:dyDescent="0.25">
      <c r="A184" s="7"/>
      <c r="B184" s="7"/>
      <c r="C184" s="7"/>
      <c r="D184" s="10">
        <f>IFERROR(SUMIFS(Composicao_Fichas!H:H,Composicao_Fichas!A:A,A184),0)</f>
      </c>
      <c r="E184" s="11">
        <f>IF(C184&gt;0,IFERROR(D184/C184,""),"")</f>
      </c>
      <c r="F184" s="5"/>
    </row>
    <row r="185" spans="1:6" x14ac:dyDescent="0.25">
      <c r="A185" s="7"/>
      <c r="B185" s="7"/>
      <c r="C185" s="7"/>
      <c r="D185" s="10">
        <f>IFERROR(SUMIFS(Composicao_Fichas!H:H,Composicao_Fichas!A:A,A185),0)</f>
      </c>
      <c r="E185" s="11">
        <f>IF(C185&gt;0,IFERROR(D185/C185,""),"")</f>
      </c>
      <c r="F185" s="5"/>
    </row>
    <row r="186" spans="1:6" x14ac:dyDescent="0.25">
      <c r="A186" s="7"/>
      <c r="B186" s="7"/>
      <c r="C186" s="7"/>
      <c r="D186" s="10">
        <f>IFERROR(SUMIFS(Composicao_Fichas!H:H,Composicao_Fichas!A:A,A186),0)</f>
      </c>
      <c r="E186" s="11">
        <f>IF(C186&gt;0,IFERROR(D186/C186,""),"")</f>
      </c>
      <c r="F186" s="5"/>
    </row>
    <row r="187" spans="1:6" x14ac:dyDescent="0.25">
      <c r="A187" s="7"/>
      <c r="B187" s="7"/>
      <c r="C187" s="7"/>
      <c r="D187" s="10">
        <f>IFERROR(SUMIFS(Composicao_Fichas!H:H,Composicao_Fichas!A:A,A187),0)</f>
      </c>
      <c r="E187" s="11">
        <f>IF(C187&gt;0,IFERROR(D187/C187,""),"")</f>
      </c>
      <c r="F187" s="5"/>
    </row>
    <row r="188" spans="1:6" x14ac:dyDescent="0.25">
      <c r="A188" s="7"/>
      <c r="B188" s="7"/>
      <c r="C188" s="7"/>
      <c r="D188" s="10">
        <f>IFERROR(SUMIFS(Composicao_Fichas!H:H,Composicao_Fichas!A:A,A188),0)</f>
      </c>
      <c r="E188" s="11">
        <f>IF(C188&gt;0,IFERROR(D188/C188,""),"")</f>
      </c>
      <c r="F188" s="5"/>
    </row>
    <row r="189" spans="1:6" x14ac:dyDescent="0.25">
      <c r="A189" s="7"/>
      <c r="B189" s="7"/>
      <c r="C189" s="7"/>
      <c r="D189" s="10">
        <f>IFERROR(SUMIFS(Composicao_Fichas!H:H,Composicao_Fichas!A:A,A189),0)</f>
      </c>
      <c r="E189" s="11">
        <f>IF(C189&gt;0,IFERROR(D189/C189,""),"")</f>
      </c>
      <c r="F189" s="5"/>
    </row>
    <row r="190" spans="1:6" x14ac:dyDescent="0.25">
      <c r="A190" s="7"/>
      <c r="B190" s="7"/>
      <c r="C190" s="7"/>
      <c r="D190" s="10">
        <f>IFERROR(SUMIFS(Composicao_Fichas!H:H,Composicao_Fichas!A:A,A190),0)</f>
      </c>
      <c r="E190" s="11">
        <f>IF(C190&gt;0,IFERROR(D190/C190,""),"")</f>
      </c>
      <c r="F190" s="5"/>
    </row>
    <row r="191" spans="1:6" x14ac:dyDescent="0.25">
      <c r="A191" s="7"/>
      <c r="B191" s="7"/>
      <c r="C191" s="7"/>
      <c r="D191" s="10">
        <f>IFERROR(SUMIFS(Composicao_Fichas!H:H,Composicao_Fichas!A:A,A191),0)</f>
      </c>
      <c r="E191" s="11">
        <f>IF(C191&gt;0,IFERROR(D191/C191,""),"")</f>
      </c>
      <c r="F191" s="5"/>
    </row>
    <row r="192" spans="1:6" x14ac:dyDescent="0.25">
      <c r="A192" s="7"/>
      <c r="B192" s="7"/>
      <c r="C192" s="7"/>
      <c r="D192" s="10">
        <f>IFERROR(SUMIFS(Composicao_Fichas!H:H,Composicao_Fichas!A:A,A192),0)</f>
      </c>
      <c r="E192" s="11">
        <f>IF(C192&gt;0,IFERROR(D192/C192,""),"")</f>
      </c>
      <c r="F192" s="5"/>
    </row>
    <row r="193" spans="1:6" x14ac:dyDescent="0.25">
      <c r="A193" s="7"/>
      <c r="B193" s="7"/>
      <c r="C193" s="7"/>
      <c r="D193" s="10">
        <f>IFERROR(SUMIFS(Composicao_Fichas!H:H,Composicao_Fichas!A:A,A193),0)</f>
      </c>
      <c r="E193" s="11">
        <f>IF(C193&gt;0,IFERROR(D193/C193,""),"")</f>
      </c>
      <c r="F193" s="5"/>
    </row>
    <row r="194" spans="1:6" x14ac:dyDescent="0.25">
      <c r="A194" s="7"/>
      <c r="B194" s="7"/>
      <c r="C194" s="7"/>
      <c r="D194" s="10">
        <f>IFERROR(SUMIFS(Composicao_Fichas!H:H,Composicao_Fichas!A:A,A194),0)</f>
      </c>
      <c r="E194" s="11">
        <f>IF(C194&gt;0,IFERROR(D194/C194,""),"")</f>
      </c>
      <c r="F194" s="5"/>
    </row>
    <row r="195" spans="1:6" x14ac:dyDescent="0.25">
      <c r="A195" s="7"/>
      <c r="B195" s="7"/>
      <c r="C195" s="7"/>
      <c r="D195" s="10">
        <f>IFERROR(SUMIFS(Composicao_Fichas!H:H,Composicao_Fichas!A:A,A195),0)</f>
      </c>
      <c r="E195" s="11">
        <f>IF(C195&gt;0,IFERROR(D195/C195,""),"")</f>
      </c>
      <c r="F195" s="5"/>
    </row>
    <row r="196" spans="1:6" x14ac:dyDescent="0.25">
      <c r="A196" s="7"/>
      <c r="B196" s="7"/>
      <c r="C196" s="7"/>
      <c r="D196" s="10">
        <f>IFERROR(SUMIFS(Composicao_Fichas!H:H,Composicao_Fichas!A:A,A196),0)</f>
      </c>
      <c r="E196" s="11">
        <f>IF(C196&gt;0,IFERROR(D196/C196,""),"")</f>
      </c>
      <c r="F196" s="5"/>
    </row>
    <row r="197" spans="1:6" x14ac:dyDescent="0.25">
      <c r="A197" s="7"/>
      <c r="B197" s="7"/>
      <c r="C197" s="7"/>
      <c r="D197" s="10">
        <f>IFERROR(SUMIFS(Composicao_Fichas!H:H,Composicao_Fichas!A:A,A197),0)</f>
      </c>
      <c r="E197" s="11">
        <f>IF(C197&gt;0,IFERROR(D197/C197,""),"")</f>
      </c>
      <c r="F197" s="5"/>
    </row>
    <row r="198" spans="1:6" x14ac:dyDescent="0.25">
      <c r="A198" s="7"/>
      <c r="B198" s="7"/>
      <c r="C198" s="7"/>
      <c r="D198" s="10">
        <f>IFERROR(SUMIFS(Composicao_Fichas!H:H,Composicao_Fichas!A:A,A198),0)</f>
      </c>
      <c r="E198" s="11">
        <f>IF(C198&gt;0,IFERROR(D198/C198,""),"")</f>
      </c>
      <c r="F198" s="5"/>
    </row>
    <row r="199" spans="1:6" x14ac:dyDescent="0.25">
      <c r="A199" s="7"/>
      <c r="B199" s="7"/>
      <c r="C199" s="7"/>
      <c r="D199" s="10">
        <f>IFERROR(SUMIFS(Composicao_Fichas!H:H,Composicao_Fichas!A:A,A199),0)</f>
      </c>
      <c r="E199" s="11">
        <f>IF(C199&gt;0,IFERROR(D199/C199,""),"")</f>
      </c>
      <c r="F199" s="5"/>
    </row>
    <row r="200" spans="1:6" x14ac:dyDescent="0.25">
      <c r="A200" s="7"/>
      <c r="B200" s="7"/>
      <c r="C200" s="7"/>
      <c r="D200" s="10">
        <f>IFERROR(SUMIFS(Composicao_Fichas!H:H,Composicao_Fichas!A:A,A200),0)</f>
      </c>
      <c r="E200" s="11">
        <f>IF(C200&gt;0,IFERROR(D200/C200,""),"")</f>
      </c>
      <c r="F200" s="5"/>
    </row>
    <row r="201" spans="1:6" x14ac:dyDescent="0.25">
      <c r="A201" s="7"/>
      <c r="B201" s="7"/>
      <c r="C201" s="7"/>
      <c r="D201" s="10">
        <f>IFERROR(SUMIFS(Composicao_Fichas!H:H,Composicao_Fichas!A:A,A201),0)</f>
      </c>
      <c r="E201" s="11">
        <f>IF(C201&gt;0,IFERROR(D201/C201,""),"")</f>
      </c>
      <c r="F201" s="5"/>
    </row>
    <row r="202" spans="1:6" x14ac:dyDescent="0.25">
      <c r="A202" s="7"/>
      <c r="B202" s="7"/>
      <c r="C202" s="7"/>
      <c r="D202" s="10">
        <f>IFERROR(SUMIFS(Composicao_Fichas!H:H,Composicao_Fichas!A:A,A202),0)</f>
      </c>
      <c r="E202" s="11">
        <f>IF(C202&gt;0,IFERROR(D202/C202,""),"")</f>
      </c>
      <c r="F202" s="5"/>
    </row>
    <row r="203" spans="1:6" x14ac:dyDescent="0.25">
      <c r="A203" s="7"/>
      <c r="B203" s="7"/>
      <c r="C203" s="7"/>
      <c r="D203" s="10">
        <f>IFERROR(SUMIFS(Composicao_Fichas!H:H,Composicao_Fichas!A:A,A203),0)</f>
      </c>
      <c r="E203" s="11">
        <f>IF(C203&gt;0,IFERROR(D203/C203,""),"")</f>
      </c>
      <c r="F203" s="5"/>
    </row>
    <row r="204" spans="1:6" x14ac:dyDescent="0.25">
      <c r="A204" s="7"/>
      <c r="B204" s="7"/>
      <c r="C204" s="7"/>
      <c r="D204" s="10">
        <f>IFERROR(SUMIFS(Composicao_Fichas!H:H,Composicao_Fichas!A:A,A204),0)</f>
      </c>
      <c r="E204" s="11">
        <f>IF(C204&gt;0,IFERROR(D204/C204,""),"")</f>
      </c>
      <c r="F204" s="5"/>
    </row>
    <row r="205" spans="1:6" x14ac:dyDescent="0.25">
      <c r="A205" s="7"/>
      <c r="B205" s="7"/>
      <c r="C205" s="7"/>
      <c r="D205" s="10">
        <f>IFERROR(SUMIFS(Composicao_Fichas!H:H,Composicao_Fichas!A:A,A205),0)</f>
      </c>
      <c r="E205" s="11">
        <f>IF(C205&gt;0,IFERROR(D205/C205,""),"")</f>
      </c>
      <c r="F205" s="5"/>
    </row>
    <row r="206" spans="1:6" x14ac:dyDescent="0.25">
      <c r="A206" s="7"/>
      <c r="B206" s="7"/>
      <c r="C206" s="7"/>
      <c r="D206" s="10">
        <f>IFERROR(SUMIFS(Composicao_Fichas!H:H,Composicao_Fichas!A:A,A206),0)</f>
      </c>
      <c r="E206" s="11">
        <f>IF(C206&gt;0,IFERROR(D206/C206,""),"")</f>
      </c>
      <c r="F206" s="5"/>
    </row>
    <row r="207" spans="1:6" x14ac:dyDescent="0.25">
      <c r="A207" s="7"/>
      <c r="B207" s="7"/>
      <c r="C207" s="7"/>
      <c r="D207" s="10">
        <f>IFERROR(SUMIFS(Composicao_Fichas!H:H,Composicao_Fichas!A:A,A207),0)</f>
      </c>
      <c r="E207" s="11">
        <f>IF(C207&gt;0,IFERROR(D207/C207,""),"")</f>
      </c>
      <c r="F207" s="5"/>
    </row>
    <row r="208" spans="1:6" x14ac:dyDescent="0.25">
      <c r="A208" s="7"/>
      <c r="B208" s="7"/>
      <c r="C208" s="7"/>
      <c r="D208" s="10">
        <f>IFERROR(SUMIFS(Composicao_Fichas!H:H,Composicao_Fichas!A:A,A208),0)</f>
      </c>
      <c r="E208" s="11">
        <f>IF(C208&gt;0,IFERROR(D208/C208,""),"")</f>
      </c>
      <c r="F208" s="5"/>
    </row>
    <row r="209" spans="1:6" x14ac:dyDescent="0.25">
      <c r="A209" s="7"/>
      <c r="B209" s="7"/>
      <c r="C209" s="7"/>
      <c r="D209" s="10">
        <f>IFERROR(SUMIFS(Composicao_Fichas!H:H,Composicao_Fichas!A:A,A209),0)</f>
      </c>
      <c r="E209" s="11">
        <f>IF(C209&gt;0,IFERROR(D209/C209,""),"")</f>
      </c>
      <c r="F209" s="5"/>
    </row>
    <row r="210" spans="1:6" x14ac:dyDescent="0.25">
      <c r="A210" s="7"/>
      <c r="B210" s="7"/>
      <c r="C210" s="7"/>
      <c r="D210" s="10">
        <f>IFERROR(SUMIFS(Composicao_Fichas!H:H,Composicao_Fichas!A:A,A210),0)</f>
      </c>
      <c r="E210" s="11">
        <f>IF(C210&gt;0,IFERROR(D210/C210,""),"")</f>
      </c>
      <c r="F210" s="5"/>
    </row>
    <row r="211" spans="1:6" x14ac:dyDescent="0.25">
      <c r="A211" s="7"/>
      <c r="B211" s="7"/>
      <c r="C211" s="7"/>
      <c r="D211" s="10">
        <f>IFERROR(SUMIFS(Composicao_Fichas!H:H,Composicao_Fichas!A:A,A211),0)</f>
      </c>
      <c r="E211" s="11">
        <f>IF(C211&gt;0,IFERROR(D211/C211,""),"")</f>
      </c>
      <c r="F211" s="5"/>
    </row>
    <row r="212" spans="1:6" x14ac:dyDescent="0.25">
      <c r="A212" s="7"/>
      <c r="B212" s="7"/>
      <c r="C212" s="7"/>
      <c r="D212" s="10">
        <f>IFERROR(SUMIFS(Composicao_Fichas!H:H,Composicao_Fichas!A:A,A212),0)</f>
      </c>
      <c r="E212" s="11">
        <f>IF(C212&gt;0,IFERROR(D212/C212,""),"")</f>
      </c>
      <c r="F212" s="5"/>
    </row>
    <row r="213" spans="1:6" x14ac:dyDescent="0.25">
      <c r="A213" s="7"/>
      <c r="B213" s="7"/>
      <c r="C213" s="7"/>
      <c r="D213" s="10">
        <f>IFERROR(SUMIFS(Composicao_Fichas!H:H,Composicao_Fichas!A:A,A213),0)</f>
      </c>
      <c r="E213" s="11">
        <f>IF(C213&gt;0,IFERROR(D213/C213,""),"")</f>
      </c>
      <c r="F213" s="5"/>
    </row>
    <row r="214" spans="1:6" x14ac:dyDescent="0.25">
      <c r="A214" s="7"/>
      <c r="B214" s="7"/>
      <c r="C214" s="7"/>
      <c r="D214" s="10">
        <f>IFERROR(SUMIFS(Composicao_Fichas!H:H,Composicao_Fichas!A:A,A214),0)</f>
      </c>
      <c r="E214" s="11">
        <f>IF(C214&gt;0,IFERROR(D214/C214,""),"")</f>
      </c>
      <c r="F214" s="5"/>
    </row>
    <row r="215" spans="1:6" x14ac:dyDescent="0.25">
      <c r="A215" s="7"/>
      <c r="B215" s="7"/>
      <c r="C215" s="7"/>
      <c r="D215" s="10">
        <f>IFERROR(SUMIFS(Composicao_Fichas!H:H,Composicao_Fichas!A:A,A215),0)</f>
      </c>
      <c r="E215" s="11">
        <f>IF(C215&gt;0,IFERROR(D215/C215,""),"")</f>
      </c>
      <c r="F215" s="5"/>
    </row>
    <row r="216" spans="1:6" x14ac:dyDescent="0.25">
      <c r="A216" s="7"/>
      <c r="B216" s="7"/>
      <c r="C216" s="7"/>
      <c r="D216" s="10">
        <f>IFERROR(SUMIFS(Composicao_Fichas!H:H,Composicao_Fichas!A:A,A216),0)</f>
      </c>
      <c r="E216" s="11">
        <f>IF(C216&gt;0,IFERROR(D216/C216,""),"")</f>
      </c>
      <c r="F216" s="5"/>
    </row>
    <row r="217" spans="1:6" x14ac:dyDescent="0.25">
      <c r="A217" s="7"/>
      <c r="B217" s="7"/>
      <c r="C217" s="7"/>
      <c r="D217" s="10">
        <f>IFERROR(SUMIFS(Composicao_Fichas!H:H,Composicao_Fichas!A:A,A217),0)</f>
      </c>
      <c r="E217" s="11">
        <f>IF(C217&gt;0,IFERROR(D217/C217,""),"")</f>
      </c>
      <c r="F217" s="5"/>
    </row>
    <row r="218" spans="1:6" x14ac:dyDescent="0.25">
      <c r="A218" s="7"/>
      <c r="B218" s="7"/>
      <c r="C218" s="7"/>
      <c r="D218" s="10">
        <f>IFERROR(SUMIFS(Composicao_Fichas!H:H,Composicao_Fichas!A:A,A218),0)</f>
      </c>
      <c r="E218" s="11">
        <f>IF(C218&gt;0,IFERROR(D218/C218,""),"")</f>
      </c>
      <c r="F218" s="5"/>
    </row>
    <row r="219" spans="1:6" x14ac:dyDescent="0.25">
      <c r="A219" s="7"/>
      <c r="B219" s="7"/>
      <c r="C219" s="7"/>
      <c r="D219" s="10">
        <f>IFERROR(SUMIFS(Composicao_Fichas!H:H,Composicao_Fichas!A:A,A219),0)</f>
      </c>
      <c r="E219" s="11">
        <f>IF(C219&gt;0,IFERROR(D219/C219,""),"")</f>
      </c>
      <c r="F219" s="5"/>
    </row>
    <row r="220" spans="1:6" x14ac:dyDescent="0.25">
      <c r="A220" s="7"/>
      <c r="B220" s="7"/>
      <c r="C220" s="7"/>
      <c r="D220" s="10">
        <f>IFERROR(SUMIFS(Composicao_Fichas!H:H,Composicao_Fichas!A:A,A220),0)</f>
      </c>
      <c r="E220" s="11">
        <f>IF(C220&gt;0,IFERROR(D220/C220,""),"")</f>
      </c>
      <c r="F220" s="5"/>
    </row>
    <row r="221" spans="1:6" x14ac:dyDescent="0.25">
      <c r="A221" s="7"/>
      <c r="B221" s="7"/>
      <c r="C221" s="7"/>
      <c r="D221" s="10">
        <f>IFERROR(SUMIFS(Composicao_Fichas!H:H,Composicao_Fichas!A:A,A221),0)</f>
      </c>
      <c r="E221" s="11">
        <f>IF(C221&gt;0,IFERROR(D221/C221,""),"")</f>
      </c>
      <c r="F221" s="5"/>
    </row>
    <row r="222" spans="1:6" x14ac:dyDescent="0.25">
      <c r="A222" s="7"/>
      <c r="B222" s="7"/>
      <c r="C222" s="7"/>
      <c r="D222" s="10">
        <f>IFERROR(SUMIFS(Composicao_Fichas!H:H,Composicao_Fichas!A:A,A222),0)</f>
      </c>
      <c r="E222" s="11">
        <f>IF(C222&gt;0,IFERROR(D222/C222,""),"")</f>
      </c>
      <c r="F222" s="5"/>
    </row>
    <row r="223" spans="1:6" x14ac:dyDescent="0.25">
      <c r="A223" s="7"/>
      <c r="B223" s="7"/>
      <c r="C223" s="7"/>
      <c r="D223" s="10">
        <f>IFERROR(SUMIFS(Composicao_Fichas!H:H,Composicao_Fichas!A:A,A223),0)</f>
      </c>
      <c r="E223" s="11">
        <f>IF(C223&gt;0,IFERROR(D223/C223,""),"")</f>
      </c>
      <c r="F223" s="5"/>
    </row>
    <row r="224" spans="1:6" x14ac:dyDescent="0.25">
      <c r="A224" s="7"/>
      <c r="B224" s="7"/>
      <c r="C224" s="7"/>
      <c r="D224" s="10">
        <f>IFERROR(SUMIFS(Composicao_Fichas!H:H,Composicao_Fichas!A:A,A224),0)</f>
      </c>
      <c r="E224" s="11">
        <f>IF(C224&gt;0,IFERROR(D224/C224,""),"")</f>
      </c>
      <c r="F224" s="5"/>
    </row>
    <row r="225" spans="1:6" x14ac:dyDescent="0.25">
      <c r="A225" s="7"/>
      <c r="B225" s="7"/>
      <c r="C225" s="7"/>
      <c r="D225" s="10">
        <f>IFERROR(SUMIFS(Composicao_Fichas!H:H,Composicao_Fichas!A:A,A225),0)</f>
      </c>
      <c r="E225" s="11">
        <f>IF(C225&gt;0,IFERROR(D225/C225,""),"")</f>
      </c>
      <c r="F225" s="5"/>
    </row>
    <row r="226" spans="1:6" x14ac:dyDescent="0.25">
      <c r="A226" s="7"/>
      <c r="B226" s="7"/>
      <c r="C226" s="7"/>
      <c r="D226" s="10">
        <f>IFERROR(SUMIFS(Composicao_Fichas!H:H,Composicao_Fichas!A:A,A226),0)</f>
      </c>
      <c r="E226" s="11">
        <f>IF(C226&gt;0,IFERROR(D226/C226,""),"")</f>
      </c>
      <c r="F226" s="5"/>
    </row>
    <row r="227" spans="1:6" x14ac:dyDescent="0.25">
      <c r="A227" s="7"/>
      <c r="B227" s="7"/>
      <c r="C227" s="7"/>
      <c r="D227" s="10">
        <f>IFERROR(SUMIFS(Composicao_Fichas!H:H,Composicao_Fichas!A:A,A227),0)</f>
      </c>
      <c r="E227" s="11">
        <f>IF(C227&gt;0,IFERROR(D227/C227,""),"")</f>
      </c>
      <c r="F227" s="5"/>
    </row>
    <row r="228" spans="1:6" x14ac:dyDescent="0.25">
      <c r="A228" s="7"/>
      <c r="B228" s="7"/>
      <c r="C228" s="7"/>
      <c r="D228" s="10">
        <f>IFERROR(SUMIFS(Composicao_Fichas!H:H,Composicao_Fichas!A:A,A228),0)</f>
      </c>
      <c r="E228" s="11">
        <f>IF(C228&gt;0,IFERROR(D228/C228,""),"")</f>
      </c>
      <c r="F228" s="5"/>
    </row>
    <row r="229" spans="1:6" x14ac:dyDescent="0.25">
      <c r="A229" s="7"/>
      <c r="B229" s="7"/>
      <c r="C229" s="7"/>
      <c r="D229" s="10">
        <f>IFERROR(SUMIFS(Composicao_Fichas!H:H,Composicao_Fichas!A:A,A229),0)</f>
      </c>
      <c r="E229" s="11">
        <f>IF(C229&gt;0,IFERROR(D229/C229,""),"")</f>
      </c>
      <c r="F229" s="5"/>
    </row>
    <row r="230" spans="1:6" x14ac:dyDescent="0.25">
      <c r="A230" s="7"/>
      <c r="B230" s="7"/>
      <c r="C230" s="7"/>
      <c r="D230" s="10">
        <f>IFERROR(SUMIFS(Composicao_Fichas!H:H,Composicao_Fichas!A:A,A230),0)</f>
      </c>
      <c r="E230" s="11">
        <f>IF(C230&gt;0,IFERROR(D230/C230,""),"")</f>
      </c>
      <c r="F230" s="5"/>
    </row>
    <row r="231" spans="1:6" x14ac:dyDescent="0.25">
      <c r="A231" s="7"/>
      <c r="B231" s="7"/>
      <c r="C231" s="7"/>
      <c r="D231" s="10">
        <f>IFERROR(SUMIFS(Composicao_Fichas!H:H,Composicao_Fichas!A:A,A231),0)</f>
      </c>
      <c r="E231" s="11">
        <f>IF(C231&gt;0,IFERROR(D231/C231,""),"")</f>
      </c>
      <c r="F231" s="5"/>
    </row>
    <row r="232" spans="1:6" x14ac:dyDescent="0.25">
      <c r="A232" s="7"/>
      <c r="B232" s="7"/>
      <c r="C232" s="7"/>
      <c r="D232" s="10">
        <f>IFERROR(SUMIFS(Composicao_Fichas!H:H,Composicao_Fichas!A:A,A232),0)</f>
      </c>
      <c r="E232" s="11">
        <f>IF(C232&gt;0,IFERROR(D232/C232,""),"")</f>
      </c>
      <c r="F232" s="5"/>
    </row>
    <row r="233" spans="1:6" x14ac:dyDescent="0.25">
      <c r="A233" s="7"/>
      <c r="B233" s="7"/>
      <c r="C233" s="7"/>
      <c r="D233" s="10">
        <f>IFERROR(SUMIFS(Composicao_Fichas!H:H,Composicao_Fichas!A:A,A233),0)</f>
      </c>
      <c r="E233" s="11">
        <f>IF(C233&gt;0,IFERROR(D233/C233,""),"")</f>
      </c>
      <c r="F233" s="5"/>
    </row>
    <row r="234" spans="1:6" x14ac:dyDescent="0.25">
      <c r="A234" s="7"/>
      <c r="B234" s="7"/>
      <c r="C234" s="7"/>
      <c r="D234" s="10">
        <f>IFERROR(SUMIFS(Composicao_Fichas!H:H,Composicao_Fichas!A:A,A234),0)</f>
      </c>
      <c r="E234" s="11">
        <f>IF(C234&gt;0,IFERROR(D234/C234,""),"")</f>
      </c>
      <c r="F234" s="5"/>
    </row>
    <row r="235" spans="1:6" x14ac:dyDescent="0.25">
      <c r="A235" s="7"/>
      <c r="B235" s="7"/>
      <c r="C235" s="7"/>
      <c r="D235" s="10">
        <f>IFERROR(SUMIFS(Composicao_Fichas!H:H,Composicao_Fichas!A:A,A235),0)</f>
      </c>
      <c r="E235" s="11">
        <f>IF(C235&gt;0,IFERROR(D235/C235,""),"")</f>
      </c>
      <c r="F235" s="5"/>
    </row>
    <row r="236" spans="1:6" x14ac:dyDescent="0.25">
      <c r="A236" s="7"/>
      <c r="B236" s="7"/>
      <c r="C236" s="7"/>
      <c r="D236" s="10">
        <f>IFERROR(SUMIFS(Composicao_Fichas!H:H,Composicao_Fichas!A:A,A236),0)</f>
      </c>
      <c r="E236" s="11">
        <f>IF(C236&gt;0,IFERROR(D236/C236,""),"")</f>
      </c>
      <c r="F236" s="5"/>
    </row>
    <row r="237" spans="1:6" x14ac:dyDescent="0.25">
      <c r="A237" s="7"/>
      <c r="B237" s="7"/>
      <c r="C237" s="7"/>
      <c r="D237" s="10">
        <f>IFERROR(SUMIFS(Composicao_Fichas!H:H,Composicao_Fichas!A:A,A237),0)</f>
      </c>
      <c r="E237" s="11">
        <f>IF(C237&gt;0,IFERROR(D237/C237,""),"")</f>
      </c>
      <c r="F237" s="5"/>
    </row>
    <row r="238" spans="1:6" x14ac:dyDescent="0.25">
      <c r="A238" s="7"/>
      <c r="B238" s="7"/>
      <c r="C238" s="7"/>
      <c r="D238" s="10">
        <f>IFERROR(SUMIFS(Composicao_Fichas!H:H,Composicao_Fichas!A:A,A238),0)</f>
      </c>
      <c r="E238" s="11">
        <f>IF(C238&gt;0,IFERROR(D238/C238,""),"")</f>
      </c>
      <c r="F238" s="5"/>
    </row>
    <row r="239" spans="1:6" x14ac:dyDescent="0.25">
      <c r="A239" s="7"/>
      <c r="B239" s="7"/>
      <c r="C239" s="7"/>
      <c r="D239" s="10">
        <f>IFERROR(SUMIFS(Composicao_Fichas!H:H,Composicao_Fichas!A:A,A239),0)</f>
      </c>
      <c r="E239" s="11">
        <f>IF(C239&gt;0,IFERROR(D239/C239,""),"")</f>
      </c>
      <c r="F239" s="5"/>
    </row>
    <row r="240" spans="1:6" x14ac:dyDescent="0.25">
      <c r="A240" s="7"/>
      <c r="B240" s="7"/>
      <c r="C240" s="7"/>
      <c r="D240" s="10">
        <f>IFERROR(SUMIFS(Composicao_Fichas!H:H,Composicao_Fichas!A:A,A240),0)</f>
      </c>
      <c r="E240" s="11">
        <f>IF(C240&gt;0,IFERROR(D240/C240,""),"")</f>
      </c>
      <c r="F240" s="5"/>
    </row>
    <row r="241" spans="1:6" x14ac:dyDescent="0.25">
      <c r="A241" s="7"/>
      <c r="B241" s="7"/>
      <c r="C241" s="7"/>
      <c r="D241" s="10">
        <f>IFERROR(SUMIFS(Composicao_Fichas!H:H,Composicao_Fichas!A:A,A241),0)</f>
      </c>
      <c r="E241" s="11">
        <f>IF(C241&gt;0,IFERROR(D241/C241,""),"")</f>
      </c>
      <c r="F241" s="5"/>
    </row>
    <row r="242" spans="1:6" x14ac:dyDescent="0.25">
      <c r="A242" s="7"/>
      <c r="B242" s="7"/>
      <c r="C242" s="7"/>
      <c r="D242" s="10">
        <f>IFERROR(SUMIFS(Composicao_Fichas!H:H,Composicao_Fichas!A:A,A242),0)</f>
      </c>
      <c r="E242" s="11">
        <f>IF(C242&gt;0,IFERROR(D242/C242,""),"")</f>
      </c>
      <c r="F242" s="5"/>
    </row>
    <row r="243" spans="1:6" x14ac:dyDescent="0.25">
      <c r="A243" s="7"/>
      <c r="B243" s="7"/>
      <c r="C243" s="7"/>
      <c r="D243" s="10">
        <f>IFERROR(SUMIFS(Composicao_Fichas!H:H,Composicao_Fichas!A:A,A243),0)</f>
      </c>
      <c r="E243" s="11">
        <f>IF(C243&gt;0,IFERROR(D243/C243,""),"")</f>
      </c>
      <c r="F243" s="5"/>
    </row>
    <row r="244" spans="1:6" x14ac:dyDescent="0.25">
      <c r="A244" s="7"/>
      <c r="B244" s="7"/>
      <c r="C244" s="7"/>
      <c r="D244" s="10">
        <f>IFERROR(SUMIFS(Composicao_Fichas!H:H,Composicao_Fichas!A:A,A244),0)</f>
      </c>
      <c r="E244" s="11">
        <f>IF(C244&gt;0,IFERROR(D244/C244,""),"")</f>
      </c>
      <c r="F244" s="5"/>
    </row>
    <row r="245" spans="1:6" x14ac:dyDescent="0.25">
      <c r="A245" s="7"/>
      <c r="B245" s="7"/>
      <c r="C245" s="7"/>
      <c r="D245" s="10">
        <f>IFERROR(SUMIFS(Composicao_Fichas!H:H,Composicao_Fichas!A:A,A245),0)</f>
      </c>
      <c r="E245" s="11">
        <f>IF(C245&gt;0,IFERROR(D245/C245,""),"")</f>
      </c>
      <c r="F245" s="5"/>
    </row>
    <row r="246" spans="1:6" x14ac:dyDescent="0.25">
      <c r="A246" s="7"/>
      <c r="B246" s="7"/>
      <c r="C246" s="7"/>
      <c r="D246" s="10">
        <f>IFERROR(SUMIFS(Composicao_Fichas!H:H,Composicao_Fichas!A:A,A246),0)</f>
      </c>
      <c r="E246" s="11">
        <f>IF(C246&gt;0,IFERROR(D246/C246,""),"")</f>
      </c>
      <c r="F246" s="5"/>
    </row>
    <row r="247" spans="1:6" x14ac:dyDescent="0.25">
      <c r="A247" s="7"/>
      <c r="B247" s="7"/>
      <c r="C247" s="7"/>
      <c r="D247" s="10">
        <f>IFERROR(SUMIFS(Composicao_Fichas!H:H,Composicao_Fichas!A:A,A247),0)</f>
      </c>
      <c r="E247" s="11">
        <f>IF(C247&gt;0,IFERROR(D247/C247,""),"")</f>
      </c>
      <c r="F247" s="5"/>
    </row>
    <row r="248" spans="1:6" x14ac:dyDescent="0.25">
      <c r="A248" s="7"/>
      <c r="B248" s="7"/>
      <c r="C248" s="7"/>
      <c r="D248" s="10">
        <f>IFERROR(SUMIFS(Composicao_Fichas!H:H,Composicao_Fichas!A:A,A248),0)</f>
      </c>
      <c r="E248" s="11">
        <f>IF(C248&gt;0,IFERROR(D248/C248,""),"")</f>
      </c>
      <c r="F248" s="5"/>
    </row>
    <row r="249" spans="1:6" x14ac:dyDescent="0.25">
      <c r="A249" s="7"/>
      <c r="B249" s="7"/>
      <c r="C249" s="7"/>
      <c r="D249" s="10">
        <f>IFERROR(SUMIFS(Composicao_Fichas!H:H,Composicao_Fichas!A:A,A249),0)</f>
      </c>
      <c r="E249" s="11">
        <f>IF(C249&gt;0,IFERROR(D249/C249,""),"")</f>
      </c>
      <c r="F249" s="5"/>
    </row>
    <row r="250" spans="1:6" x14ac:dyDescent="0.25">
      <c r="A250" s="7"/>
      <c r="B250" s="7"/>
      <c r="C250" s="7"/>
      <c r="D250" s="10">
        <f>IFERROR(SUMIFS(Composicao_Fichas!H:H,Composicao_Fichas!A:A,A250),0)</f>
      </c>
      <c r="E250" s="11">
        <f>IF(C250&gt;0,IFERROR(D250/C250,""),"")</f>
      </c>
      <c r="F250" s="5"/>
    </row>
    <row r="251" spans="1:6" x14ac:dyDescent="0.25">
      <c r="A251" s="7"/>
      <c r="B251" s="7"/>
      <c r="C251" s="7"/>
      <c r="D251" s="10">
        <f>IFERROR(SUMIFS(Composicao_Fichas!H:H,Composicao_Fichas!A:A,A251),0)</f>
      </c>
      <c r="E251" s="11">
        <f>IF(C251&gt;0,IFERROR(D251/C251,""),"")</f>
      </c>
      <c r="F251" s="5"/>
    </row>
    <row r="252" spans="1:6" x14ac:dyDescent="0.25">
      <c r="A252" s="7"/>
      <c r="B252" s="7"/>
      <c r="C252" s="7"/>
      <c r="D252" s="10">
        <f>IFERROR(SUMIFS(Composicao_Fichas!H:H,Composicao_Fichas!A:A,A252),0)</f>
      </c>
      <c r="E252" s="11">
        <f>IF(C252&gt;0,IFERROR(D252/C252,""),"")</f>
      </c>
      <c r="F252" s="5"/>
    </row>
    <row r="253" spans="1:6" x14ac:dyDescent="0.25">
      <c r="A253" s="7"/>
      <c r="B253" s="7"/>
      <c r="C253" s="7"/>
      <c r="D253" s="10">
        <f>IFERROR(SUMIFS(Composicao_Fichas!H:H,Composicao_Fichas!A:A,A253),0)</f>
      </c>
      <c r="E253" s="11">
        <f>IF(C253&gt;0,IFERROR(D253/C253,""),"")</f>
      </c>
      <c r="F253" s="5"/>
    </row>
    <row r="254" spans="1:6" x14ac:dyDescent="0.25">
      <c r="A254" s="7"/>
      <c r="B254" s="7"/>
      <c r="C254" s="7"/>
      <c r="D254" s="10">
        <f>IFERROR(SUMIFS(Composicao_Fichas!H:H,Composicao_Fichas!A:A,A254),0)</f>
      </c>
      <c r="E254" s="11">
        <f>IF(C254&gt;0,IFERROR(D254/C254,""),"")</f>
      </c>
      <c r="F254" s="5"/>
    </row>
    <row r="255" spans="1:6" x14ac:dyDescent="0.25">
      <c r="A255" s="7"/>
      <c r="B255" s="7"/>
      <c r="C255" s="7"/>
      <c r="D255" s="10">
        <f>IFERROR(SUMIFS(Composicao_Fichas!H:H,Composicao_Fichas!A:A,A255),0)</f>
      </c>
      <c r="E255" s="11">
        <f>IF(C255&gt;0,IFERROR(D255/C255,""),"")</f>
      </c>
      <c r="F255" s="5"/>
    </row>
    <row r="256" spans="1:6" x14ac:dyDescent="0.25">
      <c r="A256" s="7"/>
      <c r="B256" s="7"/>
      <c r="C256" s="7"/>
      <c r="D256" s="10">
        <f>IFERROR(SUMIFS(Composicao_Fichas!H:H,Composicao_Fichas!A:A,A256),0)</f>
      </c>
      <c r="E256" s="11">
        <f>IF(C256&gt;0,IFERROR(D256/C256,""),"")</f>
      </c>
      <c r="F256" s="5"/>
    </row>
    <row r="257" spans="1:6" x14ac:dyDescent="0.25">
      <c r="A257" s="7"/>
      <c r="B257" s="7"/>
      <c r="C257" s="7"/>
      <c r="D257" s="10">
        <f>IFERROR(SUMIFS(Composicao_Fichas!H:H,Composicao_Fichas!A:A,A257),0)</f>
      </c>
      <c r="E257" s="11">
        <f>IF(C257&gt;0,IFERROR(D257/C257,""),"")</f>
      </c>
      <c r="F257" s="5"/>
    </row>
    <row r="258" spans="1:6" x14ac:dyDescent="0.25">
      <c r="A258" s="7"/>
      <c r="B258" s="7"/>
      <c r="C258" s="7"/>
      <c r="D258" s="10">
        <f>IFERROR(SUMIFS(Composicao_Fichas!H:H,Composicao_Fichas!A:A,A258),0)</f>
      </c>
      <c r="E258" s="11">
        <f>IF(C258&gt;0,IFERROR(D258/C258,""),"")</f>
      </c>
      <c r="F258" s="5"/>
    </row>
    <row r="259" spans="1:6" x14ac:dyDescent="0.25">
      <c r="A259" s="7"/>
      <c r="B259" s="7"/>
      <c r="C259" s="7"/>
      <c r="D259" s="10">
        <f>IFERROR(SUMIFS(Composicao_Fichas!H:H,Composicao_Fichas!A:A,A259),0)</f>
      </c>
      <c r="E259" s="11">
        <f>IF(C259&gt;0,IFERROR(D259/C259,""),"")</f>
      </c>
      <c r="F259" s="5"/>
    </row>
    <row r="260" spans="1:6" x14ac:dyDescent="0.25">
      <c r="A260" s="7"/>
      <c r="B260" s="7"/>
      <c r="C260" s="7"/>
      <c r="D260" s="10">
        <f>IFERROR(SUMIFS(Composicao_Fichas!H:H,Composicao_Fichas!A:A,A260),0)</f>
      </c>
      <c r="E260" s="11">
        <f>IF(C260&gt;0,IFERROR(D260/C260,""),"")</f>
      </c>
      <c r="F260" s="5"/>
    </row>
    <row r="261" spans="1:6" x14ac:dyDescent="0.25">
      <c r="A261" s="7"/>
      <c r="B261" s="7"/>
      <c r="C261" s="7"/>
      <c r="D261" s="10">
        <f>IFERROR(SUMIFS(Composicao_Fichas!H:H,Composicao_Fichas!A:A,A261),0)</f>
      </c>
      <c r="E261" s="11">
        <f>IF(C261&gt;0,IFERROR(D261/C261,""),"")</f>
      </c>
      <c r="F261" s="5"/>
    </row>
    <row r="262" spans="1:6" x14ac:dyDescent="0.25">
      <c r="A262" s="7"/>
      <c r="B262" s="7"/>
      <c r="C262" s="7"/>
      <c r="D262" s="10">
        <f>IFERROR(SUMIFS(Composicao_Fichas!H:H,Composicao_Fichas!A:A,A262),0)</f>
      </c>
      <c r="E262" s="11">
        <f>IF(C262&gt;0,IFERROR(D262/C262,""),"")</f>
      </c>
      <c r="F262" s="5"/>
    </row>
    <row r="263" spans="1:6" x14ac:dyDescent="0.25">
      <c r="A263" s="7"/>
      <c r="B263" s="7"/>
      <c r="C263" s="7"/>
      <c r="D263" s="10">
        <f>IFERROR(SUMIFS(Composicao_Fichas!H:H,Composicao_Fichas!A:A,A263),0)</f>
      </c>
      <c r="E263" s="11">
        <f>IF(C263&gt;0,IFERROR(D263/C263,""),"")</f>
      </c>
      <c r="F263" s="5"/>
    </row>
    <row r="264" spans="1:6" x14ac:dyDescent="0.25">
      <c r="A264" s="7"/>
      <c r="B264" s="7"/>
      <c r="C264" s="7"/>
      <c r="D264" s="10">
        <f>IFERROR(SUMIFS(Composicao_Fichas!H:H,Composicao_Fichas!A:A,A264),0)</f>
      </c>
      <c r="E264" s="11">
        <f>IF(C264&gt;0,IFERROR(D264/C264,""),"")</f>
      </c>
      <c r="F264" s="5"/>
    </row>
    <row r="265" spans="1:6" x14ac:dyDescent="0.25">
      <c r="A265" s="7"/>
      <c r="B265" s="7"/>
      <c r="C265" s="7"/>
      <c r="D265" s="10">
        <f>IFERROR(SUMIFS(Composicao_Fichas!H:H,Composicao_Fichas!A:A,A265),0)</f>
      </c>
      <c r="E265" s="11">
        <f>IF(C265&gt;0,IFERROR(D265/C265,""),"")</f>
      </c>
      <c r="F265" s="5"/>
    </row>
    <row r="266" spans="1:6" x14ac:dyDescent="0.25">
      <c r="A266" s="7"/>
      <c r="B266" s="7"/>
      <c r="C266" s="7"/>
      <c r="D266" s="10">
        <f>IFERROR(SUMIFS(Composicao_Fichas!H:H,Composicao_Fichas!A:A,A266),0)</f>
      </c>
      <c r="E266" s="11">
        <f>IF(C266&gt;0,IFERROR(D266/C266,""),"")</f>
      </c>
      <c r="F266" s="5"/>
    </row>
    <row r="267" spans="1:6" x14ac:dyDescent="0.25">
      <c r="A267" s="7"/>
      <c r="B267" s="7"/>
      <c r="C267" s="7"/>
      <c r="D267" s="10">
        <f>IFERROR(SUMIFS(Composicao_Fichas!H:H,Composicao_Fichas!A:A,A267),0)</f>
      </c>
      <c r="E267" s="11">
        <f>IF(C267&gt;0,IFERROR(D267/C267,""),"")</f>
      </c>
      <c r="F267" s="5"/>
    </row>
    <row r="268" spans="1:6" x14ac:dyDescent="0.25">
      <c r="A268" s="7"/>
      <c r="B268" s="7"/>
      <c r="C268" s="7"/>
      <c r="D268" s="10">
        <f>IFERROR(SUMIFS(Composicao_Fichas!H:H,Composicao_Fichas!A:A,A268),0)</f>
      </c>
      <c r="E268" s="11">
        <f>IF(C268&gt;0,IFERROR(D268/C268,""),"")</f>
      </c>
      <c r="F268" s="5"/>
    </row>
    <row r="269" spans="1:6" x14ac:dyDescent="0.25">
      <c r="A269" s="7"/>
      <c r="B269" s="7"/>
      <c r="C269" s="7"/>
      <c r="D269" s="10">
        <f>IFERROR(SUMIFS(Composicao_Fichas!H:H,Composicao_Fichas!A:A,A269),0)</f>
      </c>
      <c r="E269" s="11">
        <f>IF(C269&gt;0,IFERROR(D269/C269,""),"")</f>
      </c>
      <c r="F269" s="5"/>
    </row>
    <row r="270" spans="1:6" x14ac:dyDescent="0.25">
      <c r="A270" s="7"/>
      <c r="B270" s="7"/>
      <c r="C270" s="7"/>
      <c r="D270" s="10">
        <f>IFERROR(SUMIFS(Composicao_Fichas!H:H,Composicao_Fichas!A:A,A270),0)</f>
      </c>
      <c r="E270" s="11">
        <f>IF(C270&gt;0,IFERROR(D270/C270,""),"")</f>
      </c>
      <c r="F270" s="5"/>
    </row>
    <row r="271" spans="1:6" x14ac:dyDescent="0.25">
      <c r="A271" s="7"/>
      <c r="B271" s="7"/>
      <c r="C271" s="7"/>
      <c r="D271" s="10">
        <f>IFERROR(SUMIFS(Composicao_Fichas!H:H,Composicao_Fichas!A:A,A271),0)</f>
      </c>
      <c r="E271" s="11">
        <f>IF(C271&gt;0,IFERROR(D271/C271,""),"")</f>
      </c>
      <c r="F271" s="5"/>
    </row>
    <row r="272" spans="1:6" x14ac:dyDescent="0.25">
      <c r="A272" s="7"/>
      <c r="B272" s="7"/>
      <c r="C272" s="7"/>
      <c r="D272" s="10">
        <f>IFERROR(SUMIFS(Composicao_Fichas!H:H,Composicao_Fichas!A:A,A272),0)</f>
      </c>
      <c r="E272" s="11">
        <f>IF(C272&gt;0,IFERROR(D272/C272,""),"")</f>
      </c>
      <c r="F272" s="5"/>
    </row>
    <row r="273" spans="1:6" x14ac:dyDescent="0.25">
      <c r="A273" s="7"/>
      <c r="B273" s="7"/>
      <c r="C273" s="7"/>
      <c r="D273" s="10">
        <f>IFERROR(SUMIFS(Composicao_Fichas!H:H,Composicao_Fichas!A:A,A273),0)</f>
      </c>
      <c r="E273" s="11">
        <f>IF(C273&gt;0,IFERROR(D273/C273,""),"")</f>
      </c>
      <c r="F273" s="5"/>
    </row>
    <row r="274" spans="1:6" x14ac:dyDescent="0.25">
      <c r="A274" s="7"/>
      <c r="B274" s="7"/>
      <c r="C274" s="7"/>
      <c r="D274" s="10">
        <f>IFERROR(SUMIFS(Composicao_Fichas!H:H,Composicao_Fichas!A:A,A274),0)</f>
      </c>
      <c r="E274" s="11">
        <f>IF(C274&gt;0,IFERROR(D274/C274,""),"")</f>
      </c>
      <c r="F274" s="5"/>
    </row>
    <row r="275" spans="1:6" x14ac:dyDescent="0.25">
      <c r="A275" s="7"/>
      <c r="B275" s="7"/>
      <c r="C275" s="7"/>
      <c r="D275" s="10">
        <f>IFERROR(SUMIFS(Composicao_Fichas!H:H,Composicao_Fichas!A:A,A275),0)</f>
      </c>
      <c r="E275" s="11">
        <f>IF(C275&gt;0,IFERROR(D275/C275,""),"")</f>
      </c>
      <c r="F275" s="5"/>
    </row>
    <row r="276" spans="1:6" x14ac:dyDescent="0.25">
      <c r="A276" s="7"/>
      <c r="B276" s="7"/>
      <c r="C276" s="7"/>
      <c r="D276" s="10">
        <f>IFERROR(SUMIFS(Composicao_Fichas!H:H,Composicao_Fichas!A:A,A276),0)</f>
      </c>
      <c r="E276" s="11">
        <f>IF(C276&gt;0,IFERROR(D276/C276,""),"")</f>
      </c>
      <c r="F276" s="5"/>
    </row>
    <row r="277" spans="1:6" x14ac:dyDescent="0.25">
      <c r="A277" s="7"/>
      <c r="B277" s="7"/>
      <c r="C277" s="7"/>
      <c r="D277" s="10">
        <f>IFERROR(SUMIFS(Composicao_Fichas!H:H,Composicao_Fichas!A:A,A277),0)</f>
      </c>
      <c r="E277" s="11">
        <f>IF(C277&gt;0,IFERROR(D277/C277,""),"")</f>
      </c>
      <c r="F277" s="5"/>
    </row>
    <row r="278" spans="1:6" x14ac:dyDescent="0.25">
      <c r="A278" s="7"/>
      <c r="B278" s="7"/>
      <c r="C278" s="7"/>
      <c r="D278" s="10">
        <f>IFERROR(SUMIFS(Composicao_Fichas!H:H,Composicao_Fichas!A:A,A278),0)</f>
      </c>
      <c r="E278" s="11">
        <f>IF(C278&gt;0,IFERROR(D278/C278,""),"")</f>
      </c>
      <c r="F278" s="5"/>
    </row>
    <row r="279" spans="1:6" x14ac:dyDescent="0.25">
      <c r="A279" s="7"/>
      <c r="B279" s="7"/>
      <c r="C279" s="7"/>
      <c r="D279" s="10">
        <f>IFERROR(SUMIFS(Composicao_Fichas!H:H,Composicao_Fichas!A:A,A279),0)</f>
      </c>
      <c r="E279" s="11">
        <f>IF(C279&gt;0,IFERROR(D279/C279,""),"")</f>
      </c>
      <c r="F279" s="5"/>
    </row>
    <row r="280" spans="1:6" x14ac:dyDescent="0.25">
      <c r="A280" s="7"/>
      <c r="B280" s="7"/>
      <c r="C280" s="7"/>
      <c r="D280" s="10">
        <f>IFERROR(SUMIFS(Composicao_Fichas!H:H,Composicao_Fichas!A:A,A280),0)</f>
      </c>
      <c r="E280" s="11">
        <f>IF(C280&gt;0,IFERROR(D280/C280,""),"")</f>
      </c>
      <c r="F280" s="5"/>
    </row>
    <row r="281" spans="1:6" x14ac:dyDescent="0.25">
      <c r="A281" s="7"/>
      <c r="B281" s="7"/>
      <c r="C281" s="7"/>
      <c r="D281" s="10">
        <f>IFERROR(SUMIFS(Composicao_Fichas!H:H,Composicao_Fichas!A:A,A281),0)</f>
      </c>
      <c r="E281" s="11">
        <f>IF(C281&gt;0,IFERROR(D281/C281,""),"")</f>
      </c>
      <c r="F281" s="5"/>
    </row>
    <row r="282" spans="1:6" x14ac:dyDescent="0.25">
      <c r="A282" s="7"/>
      <c r="B282" s="7"/>
      <c r="C282" s="7"/>
      <c r="D282" s="10">
        <f>IFERROR(SUMIFS(Composicao_Fichas!H:H,Composicao_Fichas!A:A,A282),0)</f>
      </c>
      <c r="E282" s="11">
        <f>IF(C282&gt;0,IFERROR(D282/C282,""),"")</f>
      </c>
      <c r="F282" s="5"/>
    </row>
    <row r="283" spans="1:6" x14ac:dyDescent="0.25">
      <c r="A283" s="7"/>
      <c r="B283" s="7"/>
      <c r="C283" s="7"/>
      <c r="D283" s="10">
        <f>IFERROR(SUMIFS(Composicao_Fichas!H:H,Composicao_Fichas!A:A,A283),0)</f>
      </c>
      <c r="E283" s="11">
        <f>IF(C283&gt;0,IFERROR(D283/C283,""),"")</f>
      </c>
      <c r="F283" s="5"/>
    </row>
    <row r="284" spans="1:6" x14ac:dyDescent="0.25">
      <c r="A284" s="7"/>
      <c r="B284" s="7"/>
      <c r="C284" s="7"/>
      <c r="D284" s="10">
        <f>IFERROR(SUMIFS(Composicao_Fichas!H:H,Composicao_Fichas!A:A,A284),0)</f>
      </c>
      <c r="E284" s="11">
        <f>IF(C284&gt;0,IFERROR(D284/C284,""),"")</f>
      </c>
      <c r="F284" s="5"/>
    </row>
    <row r="285" spans="1:6" x14ac:dyDescent="0.25">
      <c r="A285" s="7"/>
      <c r="B285" s="7"/>
      <c r="C285" s="7"/>
      <c r="D285" s="10">
        <f>IFERROR(SUMIFS(Composicao_Fichas!H:H,Composicao_Fichas!A:A,A285),0)</f>
      </c>
      <c r="E285" s="11">
        <f>IF(C285&gt;0,IFERROR(D285/C285,""),"")</f>
      </c>
      <c r="F285" s="5"/>
    </row>
    <row r="286" spans="1:6" x14ac:dyDescent="0.25">
      <c r="A286" s="7"/>
      <c r="B286" s="7"/>
      <c r="C286" s="7"/>
      <c r="D286" s="10">
        <f>IFERROR(SUMIFS(Composicao_Fichas!H:H,Composicao_Fichas!A:A,A286),0)</f>
      </c>
      <c r="E286" s="11">
        <f>IF(C286&gt;0,IFERROR(D286/C286,""),"")</f>
      </c>
      <c r="F286" s="5"/>
    </row>
    <row r="287" spans="1:6" x14ac:dyDescent="0.25">
      <c r="A287" s="7"/>
      <c r="B287" s="7"/>
      <c r="C287" s="7"/>
      <c r="D287" s="10">
        <f>IFERROR(SUMIFS(Composicao_Fichas!H:H,Composicao_Fichas!A:A,A287),0)</f>
      </c>
      <c r="E287" s="11">
        <f>IF(C287&gt;0,IFERROR(D287/C287,""),"")</f>
      </c>
      <c r="F287" s="5"/>
    </row>
    <row r="288" spans="1:6" x14ac:dyDescent="0.25">
      <c r="A288" s="7"/>
      <c r="B288" s="7"/>
      <c r="C288" s="7"/>
      <c r="D288" s="10">
        <f>IFERROR(SUMIFS(Composicao_Fichas!H:H,Composicao_Fichas!A:A,A288),0)</f>
      </c>
      <c r="E288" s="11">
        <f>IF(C288&gt;0,IFERROR(D288/C288,""),"")</f>
      </c>
      <c r="F288" s="5"/>
    </row>
    <row r="289" spans="1:6" x14ac:dyDescent="0.25">
      <c r="A289" s="7"/>
      <c r="B289" s="7"/>
      <c r="C289" s="7"/>
      <c r="D289" s="10">
        <f>IFERROR(SUMIFS(Composicao_Fichas!H:H,Composicao_Fichas!A:A,A289),0)</f>
      </c>
      <c r="E289" s="11">
        <f>IF(C289&gt;0,IFERROR(D289/C289,""),"")</f>
      </c>
      <c r="F289" s="5"/>
    </row>
    <row r="290" spans="1:6" x14ac:dyDescent="0.25">
      <c r="A290" s="7"/>
      <c r="B290" s="7"/>
      <c r="C290" s="7"/>
      <c r="D290" s="10">
        <f>IFERROR(SUMIFS(Composicao_Fichas!H:H,Composicao_Fichas!A:A,A290),0)</f>
      </c>
      <c r="E290" s="11">
        <f>IF(C290&gt;0,IFERROR(D290/C290,""),"")</f>
      </c>
      <c r="F290" s="5"/>
    </row>
    <row r="291" spans="1:6" x14ac:dyDescent="0.25">
      <c r="A291" s="7"/>
      <c r="B291" s="7"/>
      <c r="C291" s="7"/>
      <c r="D291" s="10">
        <f>IFERROR(SUMIFS(Composicao_Fichas!H:H,Composicao_Fichas!A:A,A291),0)</f>
      </c>
      <c r="E291" s="11">
        <f>IF(C291&gt;0,IFERROR(D291/C291,""),"")</f>
      </c>
      <c r="F291" s="5"/>
    </row>
    <row r="292" spans="1:6" x14ac:dyDescent="0.25">
      <c r="A292" s="7"/>
      <c r="B292" s="7"/>
      <c r="C292" s="7"/>
      <c r="D292" s="10">
        <f>IFERROR(SUMIFS(Composicao_Fichas!H:H,Composicao_Fichas!A:A,A292),0)</f>
      </c>
      <c r="E292" s="11">
        <f>IF(C292&gt;0,IFERROR(D292/C292,""),"")</f>
      </c>
      <c r="F292" s="5"/>
    </row>
    <row r="293" spans="1:6" x14ac:dyDescent="0.25">
      <c r="A293" s="7"/>
      <c r="B293" s="7"/>
      <c r="C293" s="7"/>
      <c r="D293" s="10">
        <f>IFERROR(SUMIFS(Composicao_Fichas!H:H,Composicao_Fichas!A:A,A293),0)</f>
      </c>
      <c r="E293" s="11">
        <f>IF(C293&gt;0,IFERROR(D293/C293,""),"")</f>
      </c>
      <c r="F293" s="5"/>
    </row>
    <row r="294" spans="1:6" x14ac:dyDescent="0.25">
      <c r="A294" s="7"/>
      <c r="B294" s="7"/>
      <c r="C294" s="7"/>
      <c r="D294" s="10">
        <f>IFERROR(SUMIFS(Composicao_Fichas!H:H,Composicao_Fichas!A:A,A294),0)</f>
      </c>
      <c r="E294" s="11">
        <f>IF(C294&gt;0,IFERROR(D294/C294,""),"")</f>
      </c>
      <c r="F294" s="5"/>
    </row>
    <row r="295" spans="1:6" x14ac:dyDescent="0.25">
      <c r="A295" s="7"/>
      <c r="B295" s="7"/>
      <c r="C295" s="7"/>
      <c r="D295" s="10">
        <f>IFERROR(SUMIFS(Composicao_Fichas!H:H,Composicao_Fichas!A:A,A295),0)</f>
      </c>
      <c r="E295" s="11">
        <f>IF(C295&gt;0,IFERROR(D295/C295,""),"")</f>
      </c>
      <c r="F295" s="5"/>
    </row>
    <row r="296" spans="1:6" x14ac:dyDescent="0.25">
      <c r="A296" s="7"/>
      <c r="B296" s="7"/>
      <c r="C296" s="7"/>
      <c r="D296" s="10">
        <f>IFERROR(SUMIFS(Composicao_Fichas!H:H,Composicao_Fichas!A:A,A296),0)</f>
      </c>
      <c r="E296" s="11">
        <f>IF(C296&gt;0,IFERROR(D296/C296,""),"")</f>
      </c>
      <c r="F296" s="5"/>
    </row>
    <row r="297" spans="1:6" x14ac:dyDescent="0.25">
      <c r="A297" s="7"/>
      <c r="B297" s="7"/>
      <c r="C297" s="7"/>
      <c r="D297" s="10">
        <f>IFERROR(SUMIFS(Composicao_Fichas!H:H,Composicao_Fichas!A:A,A297),0)</f>
      </c>
      <c r="E297" s="11">
        <f>IF(C297&gt;0,IFERROR(D297/C297,""),"")</f>
      </c>
      <c r="F297" s="5"/>
    </row>
    <row r="298" spans="1:6" x14ac:dyDescent="0.25">
      <c r="A298" s="7"/>
      <c r="B298" s="7"/>
      <c r="C298" s="7"/>
      <c r="D298" s="10">
        <f>IFERROR(SUMIFS(Composicao_Fichas!H:H,Composicao_Fichas!A:A,A298),0)</f>
      </c>
      <c r="E298" s="11">
        <f>IF(C298&gt;0,IFERROR(D298/C298,""),"")</f>
      </c>
      <c r="F298" s="5"/>
    </row>
    <row r="299" spans="1:6" x14ac:dyDescent="0.25">
      <c r="A299" s="7"/>
      <c r="B299" s="7"/>
      <c r="C299" s="7"/>
      <c r="D299" s="10">
        <f>IFERROR(SUMIFS(Composicao_Fichas!H:H,Composicao_Fichas!A:A,A299),0)</f>
      </c>
      <c r="E299" s="11">
        <f>IF(C299&gt;0,IFERROR(D299/C299,""),"")</f>
      </c>
      <c r="F299" s="5"/>
    </row>
    <row r="300" spans="1:6" x14ac:dyDescent="0.25">
      <c r="A300" s="7"/>
      <c r="B300" s="7"/>
      <c r="C300" s="7"/>
      <c r="D300" s="10">
        <f>IFERROR(SUMIFS(Composicao_Fichas!H:H,Composicao_Fichas!A:A,A300),0)</f>
      </c>
      <c r="E300" s="11">
        <f>IF(C300&gt;0,IFERROR(D300/C300,""),"")</f>
      </c>
      <c r="F300" s="5"/>
    </row>
    <row r="301" spans="1:6" x14ac:dyDescent="0.25">
      <c r="A301" s="7"/>
      <c r="B301" s="7"/>
      <c r="C301" s="7"/>
      <c r="D301" s="10">
        <f>IFERROR(SUMIFS(Composicao_Fichas!H:H,Composicao_Fichas!A:A,A301),0)</f>
      </c>
      <c r="E301" s="11">
        <f>IF(C301&gt;0,IFERROR(D301/C301,""),"")</f>
      </c>
      <c r="F301" s="5"/>
    </row>
    <row r="302" spans="1:6" x14ac:dyDescent="0.25">
      <c r="A302" s="7"/>
      <c r="B302" s="7"/>
      <c r="C302" s="7"/>
      <c r="D302" s="10">
        <f>IFERROR(SUMIFS(Composicao_Fichas!H:H,Composicao_Fichas!A:A,A302),0)</f>
      </c>
      <c r="E302" s="11">
        <f>IF(C302&gt;0,IFERROR(D302/C302,""),"")</f>
      </c>
      <c r="F302" s="5"/>
    </row>
    <row r="303" spans="1:6" x14ac:dyDescent="0.25">
      <c r="A303" s="7"/>
      <c r="B303" s="7"/>
      <c r="C303" s="7"/>
      <c r="D303" s="10">
        <f>IFERROR(SUMIFS(Composicao_Fichas!H:H,Composicao_Fichas!A:A,A303),0)</f>
      </c>
      <c r="E303" s="11">
        <f>IF(C303&gt;0,IFERROR(D303/C303,""),"")</f>
      </c>
      <c r="F303" s="5"/>
    </row>
    <row r="304" spans="1:6" x14ac:dyDescent="0.25">
      <c r="A304" s="7"/>
      <c r="B304" s="7"/>
      <c r="C304" s="7"/>
      <c r="D304" s="10">
        <f>IFERROR(SUMIFS(Composicao_Fichas!H:H,Composicao_Fichas!A:A,A304),0)</f>
      </c>
      <c r="E304" s="11">
        <f>IF(C304&gt;0,IFERROR(D304/C304,""),"")</f>
      </c>
      <c r="F304" s="5"/>
    </row>
    <row r="305" spans="1:6" x14ac:dyDescent="0.25">
      <c r="A305" s="7"/>
      <c r="B305" s="7"/>
      <c r="C305" s="7"/>
      <c r="D305" s="10">
        <f>IFERROR(SUMIFS(Composicao_Fichas!H:H,Composicao_Fichas!A:A,A305),0)</f>
      </c>
      <c r="E305" s="11">
        <f>IF(C305&gt;0,IFERROR(D305/C305,""),"")</f>
      </c>
      <c r="F305" s="5"/>
    </row>
    <row r="306" spans="1:6" x14ac:dyDescent="0.25">
      <c r="A306" s="7"/>
      <c r="B306" s="7"/>
      <c r="C306" s="7"/>
      <c r="D306" s="10">
        <f>IFERROR(SUMIFS(Composicao_Fichas!H:H,Composicao_Fichas!A:A,A306),0)</f>
      </c>
      <c r="E306" s="11">
        <f>IF(C306&gt;0,IFERROR(D306/C306,""),"")</f>
      </c>
      <c r="F306" s="5"/>
    </row>
    <row r="307" spans="1:6" x14ac:dyDescent="0.25">
      <c r="A307" s="7"/>
      <c r="B307" s="7"/>
      <c r="C307" s="7"/>
      <c r="D307" s="10">
        <f>IFERROR(SUMIFS(Composicao_Fichas!H:H,Composicao_Fichas!A:A,A307),0)</f>
      </c>
      <c r="E307" s="11">
        <f>IF(C307&gt;0,IFERROR(D307/C307,""),"")</f>
      </c>
      <c r="F307" s="5"/>
    </row>
    <row r="308" spans="1:6" x14ac:dyDescent="0.25">
      <c r="A308" s="7"/>
      <c r="B308" s="7"/>
      <c r="C308" s="7"/>
      <c r="D308" s="10">
        <f>IFERROR(SUMIFS(Composicao_Fichas!H:H,Composicao_Fichas!A:A,A308),0)</f>
      </c>
      <c r="E308" s="11">
        <f>IF(C308&gt;0,IFERROR(D308/C308,""),"")</f>
      </c>
      <c r="F308" s="5"/>
    </row>
    <row r="309" spans="1:6" x14ac:dyDescent="0.25">
      <c r="A309" s="7"/>
      <c r="B309" s="7"/>
      <c r="C309" s="7"/>
      <c r="D309" s="10">
        <f>IFERROR(SUMIFS(Composicao_Fichas!H:H,Composicao_Fichas!A:A,A309),0)</f>
      </c>
      <c r="E309" s="11">
        <f>IF(C309&gt;0,IFERROR(D309/C309,""),"")</f>
      </c>
      <c r="F309" s="5"/>
    </row>
    <row r="310" spans="1:6" x14ac:dyDescent="0.25">
      <c r="A310" s="7"/>
      <c r="B310" s="7"/>
      <c r="C310" s="7"/>
      <c r="D310" s="10">
        <f>IFERROR(SUMIFS(Composicao_Fichas!H:H,Composicao_Fichas!A:A,A310),0)</f>
      </c>
      <c r="E310" s="11">
        <f>IF(C310&gt;0,IFERROR(D310/C310,""),"")</f>
      </c>
      <c r="F310" s="5"/>
    </row>
    <row r="311" spans="1:6" x14ac:dyDescent="0.25">
      <c r="A311" s="7"/>
      <c r="B311" s="7"/>
      <c r="C311" s="7"/>
      <c r="D311" s="10">
        <f>IFERROR(SUMIFS(Composicao_Fichas!H:H,Composicao_Fichas!A:A,A311),0)</f>
      </c>
      <c r="E311" s="11">
        <f>IF(C311&gt;0,IFERROR(D311/C311,""),"")</f>
      </c>
      <c r="F311" s="5"/>
    </row>
    <row r="312" spans="1:6" x14ac:dyDescent="0.25">
      <c r="A312" s="7"/>
      <c r="B312" s="7"/>
      <c r="C312" s="7"/>
      <c r="D312" s="10">
        <f>IFERROR(SUMIFS(Composicao_Fichas!H:H,Composicao_Fichas!A:A,A312),0)</f>
      </c>
      <c r="E312" s="11">
        <f>IF(C312&gt;0,IFERROR(D312/C312,""),"")</f>
      </c>
      <c r="F312" s="5"/>
    </row>
    <row r="313" spans="1:6" x14ac:dyDescent="0.25">
      <c r="A313" s="7"/>
      <c r="B313" s="7"/>
      <c r="C313" s="7"/>
      <c r="D313" s="10">
        <f>IFERROR(SUMIFS(Composicao_Fichas!H:H,Composicao_Fichas!A:A,A313),0)</f>
      </c>
      <c r="E313" s="11">
        <f>IF(C313&gt;0,IFERROR(D313/C313,""),"")</f>
      </c>
      <c r="F313" s="5"/>
    </row>
    <row r="314" spans="1:6" x14ac:dyDescent="0.25">
      <c r="A314" s="7"/>
      <c r="B314" s="7"/>
      <c r="C314" s="7"/>
      <c r="D314" s="10">
        <f>IFERROR(SUMIFS(Composicao_Fichas!H:H,Composicao_Fichas!A:A,A314),0)</f>
      </c>
      <c r="E314" s="11">
        <f>IF(C314&gt;0,IFERROR(D314/C314,""),"")</f>
      </c>
      <c r="F314" s="5"/>
    </row>
    <row r="315" spans="1:6" x14ac:dyDescent="0.25">
      <c r="A315" s="7"/>
      <c r="B315" s="7"/>
      <c r="C315" s="7"/>
      <c r="D315" s="10">
        <f>IFERROR(SUMIFS(Composicao_Fichas!H:H,Composicao_Fichas!A:A,A315),0)</f>
      </c>
      <c r="E315" s="11">
        <f>IF(C315&gt;0,IFERROR(D315/C315,""),"")</f>
      </c>
      <c r="F315" s="5"/>
    </row>
    <row r="316" spans="1:6" x14ac:dyDescent="0.25">
      <c r="A316" s="7"/>
      <c r="B316" s="7"/>
      <c r="C316" s="7"/>
      <c r="D316" s="10">
        <f>IFERROR(SUMIFS(Composicao_Fichas!H:H,Composicao_Fichas!A:A,A316),0)</f>
      </c>
      <c r="E316" s="11">
        <f>IF(C316&gt;0,IFERROR(D316/C316,""),"")</f>
      </c>
      <c r="F316" s="5"/>
    </row>
    <row r="317" spans="1:6" x14ac:dyDescent="0.25">
      <c r="A317" s="7"/>
      <c r="B317" s="7"/>
      <c r="C317" s="7"/>
      <c r="D317" s="10">
        <f>IFERROR(SUMIFS(Composicao_Fichas!H:H,Composicao_Fichas!A:A,A317),0)</f>
      </c>
      <c r="E317" s="11">
        <f>IF(C317&gt;0,IFERROR(D317/C317,""),"")</f>
      </c>
      <c r="F317" s="5"/>
    </row>
    <row r="318" spans="1:6" x14ac:dyDescent="0.25">
      <c r="A318" s="7"/>
      <c r="B318" s="7"/>
      <c r="C318" s="7"/>
      <c r="D318" s="10">
        <f>IFERROR(SUMIFS(Composicao_Fichas!H:H,Composicao_Fichas!A:A,A318),0)</f>
      </c>
      <c r="E318" s="11">
        <f>IF(C318&gt;0,IFERROR(D318/C318,""),"")</f>
      </c>
      <c r="F318" s="5"/>
    </row>
    <row r="319" spans="1:6" x14ac:dyDescent="0.25">
      <c r="A319" s="7"/>
      <c r="B319" s="7"/>
      <c r="C319" s="7"/>
      <c r="D319" s="10">
        <f>IFERROR(SUMIFS(Composicao_Fichas!H:H,Composicao_Fichas!A:A,A319),0)</f>
      </c>
      <c r="E319" s="11">
        <f>IF(C319&gt;0,IFERROR(D319/C319,""),"")</f>
      </c>
      <c r="F319" s="5"/>
    </row>
    <row r="320" spans="1:6" x14ac:dyDescent="0.25">
      <c r="A320" s="7"/>
      <c r="B320" s="7"/>
      <c r="C320" s="7"/>
      <c r="D320" s="10">
        <f>IFERROR(SUMIFS(Composicao_Fichas!H:H,Composicao_Fichas!A:A,A320),0)</f>
      </c>
      <c r="E320" s="11">
        <f>IF(C320&gt;0,IFERROR(D320/C320,""),"")</f>
      </c>
      <c r="F320" s="5"/>
    </row>
    <row r="321" spans="1:6" x14ac:dyDescent="0.25">
      <c r="A321" s="7"/>
      <c r="B321" s="7"/>
      <c r="C321" s="7"/>
      <c r="D321" s="10">
        <f>IFERROR(SUMIFS(Composicao_Fichas!H:H,Composicao_Fichas!A:A,A321),0)</f>
      </c>
      <c r="E321" s="11">
        <f>IF(C321&gt;0,IFERROR(D321/C321,""),"")</f>
      </c>
      <c r="F321" s="5"/>
    </row>
    <row r="322" spans="1:6" x14ac:dyDescent="0.25">
      <c r="A322" s="7"/>
      <c r="B322" s="7"/>
      <c r="C322" s="7"/>
      <c r="D322" s="10">
        <f>IFERROR(SUMIFS(Composicao_Fichas!H:H,Composicao_Fichas!A:A,A322),0)</f>
      </c>
      <c r="E322" s="11">
        <f>IF(C322&gt;0,IFERROR(D322/C322,""),"")</f>
      </c>
      <c r="F322" s="5"/>
    </row>
    <row r="323" spans="1:6" x14ac:dyDescent="0.25">
      <c r="A323" s="7"/>
      <c r="B323" s="7"/>
      <c r="C323" s="7"/>
      <c r="D323" s="10">
        <f>IFERROR(SUMIFS(Composicao_Fichas!H:H,Composicao_Fichas!A:A,A323),0)</f>
      </c>
      <c r="E323" s="11">
        <f>IF(C323&gt;0,IFERROR(D323/C323,""),"")</f>
      </c>
      <c r="F323" s="5"/>
    </row>
    <row r="324" spans="1:6" x14ac:dyDescent="0.25">
      <c r="A324" s="7"/>
      <c r="B324" s="7"/>
      <c r="C324" s="7"/>
      <c r="D324" s="10">
        <f>IFERROR(SUMIFS(Composicao_Fichas!H:H,Composicao_Fichas!A:A,A324),0)</f>
      </c>
      <c r="E324" s="11">
        <f>IF(C324&gt;0,IFERROR(D324/C324,""),"")</f>
      </c>
      <c r="F324" s="5"/>
    </row>
    <row r="325" spans="1:6" x14ac:dyDescent="0.25">
      <c r="A325" s="7"/>
      <c r="B325" s="7"/>
      <c r="C325" s="7"/>
      <c r="D325" s="10">
        <f>IFERROR(SUMIFS(Composicao_Fichas!H:H,Composicao_Fichas!A:A,A325),0)</f>
      </c>
      <c r="E325" s="11">
        <f>IF(C325&gt;0,IFERROR(D325/C325,""),"")</f>
      </c>
      <c r="F325" s="5"/>
    </row>
    <row r="326" spans="1:6" x14ac:dyDescent="0.25">
      <c r="A326" s="7"/>
      <c r="B326" s="7"/>
      <c r="C326" s="7"/>
      <c r="D326" s="10">
        <f>IFERROR(SUMIFS(Composicao_Fichas!H:H,Composicao_Fichas!A:A,A326),0)</f>
      </c>
      <c r="E326" s="11">
        <f>IF(C326&gt;0,IFERROR(D326/C326,""),"")</f>
      </c>
      <c r="F326" s="5"/>
    </row>
    <row r="327" spans="1:6" x14ac:dyDescent="0.25">
      <c r="A327" s="7"/>
      <c r="B327" s="7"/>
      <c r="C327" s="7"/>
      <c r="D327" s="10">
        <f>IFERROR(SUMIFS(Composicao_Fichas!H:H,Composicao_Fichas!A:A,A327),0)</f>
      </c>
      <c r="E327" s="11">
        <f>IF(C327&gt;0,IFERROR(D327/C327,""),"")</f>
      </c>
      <c r="F327" s="5"/>
    </row>
    <row r="328" spans="1:6" x14ac:dyDescent="0.25">
      <c r="A328" s="7"/>
      <c r="B328" s="7"/>
      <c r="C328" s="7"/>
      <c r="D328" s="10">
        <f>IFERROR(SUMIFS(Composicao_Fichas!H:H,Composicao_Fichas!A:A,A328),0)</f>
      </c>
      <c r="E328" s="11">
        <f>IF(C328&gt;0,IFERROR(D328/C328,""),"")</f>
      </c>
      <c r="F328" s="5"/>
    </row>
    <row r="329" spans="1:6" x14ac:dyDescent="0.25">
      <c r="A329" s="7"/>
      <c r="B329" s="7"/>
      <c r="C329" s="7"/>
      <c r="D329" s="10">
        <f>IFERROR(SUMIFS(Composicao_Fichas!H:H,Composicao_Fichas!A:A,A329),0)</f>
      </c>
      <c r="E329" s="11">
        <f>IF(C329&gt;0,IFERROR(D329/C329,""),"")</f>
      </c>
      <c r="F329" s="5"/>
    </row>
    <row r="330" spans="1:6" x14ac:dyDescent="0.25">
      <c r="A330" s="7"/>
      <c r="B330" s="7"/>
      <c r="C330" s="7"/>
      <c r="D330" s="10">
        <f>IFERROR(SUMIFS(Composicao_Fichas!H:H,Composicao_Fichas!A:A,A330),0)</f>
      </c>
      <c r="E330" s="11">
        <f>IF(C330&gt;0,IFERROR(D330/C330,""),"")</f>
      </c>
      <c r="F330" s="5"/>
    </row>
    <row r="331" spans="1:6" x14ac:dyDescent="0.25">
      <c r="A331" s="7"/>
      <c r="B331" s="7"/>
      <c r="C331" s="7"/>
      <c r="D331" s="10">
        <f>IFERROR(SUMIFS(Composicao_Fichas!H:H,Composicao_Fichas!A:A,A331),0)</f>
      </c>
      <c r="E331" s="11">
        <f>IF(C331&gt;0,IFERROR(D331/C331,""),"")</f>
      </c>
      <c r="F331" s="5"/>
    </row>
    <row r="332" spans="1:6" x14ac:dyDescent="0.25">
      <c r="A332" s="7"/>
      <c r="B332" s="7"/>
      <c r="C332" s="7"/>
      <c r="D332" s="10">
        <f>IFERROR(SUMIFS(Composicao_Fichas!H:H,Composicao_Fichas!A:A,A332),0)</f>
      </c>
      <c r="E332" s="11">
        <f>IF(C332&gt;0,IFERROR(D332/C332,""),"")</f>
      </c>
      <c r="F332" s="5"/>
    </row>
    <row r="333" spans="1:6" x14ac:dyDescent="0.25">
      <c r="A333" s="7"/>
      <c r="B333" s="7"/>
      <c r="C333" s="7"/>
      <c r="D333" s="10">
        <f>IFERROR(SUMIFS(Composicao_Fichas!H:H,Composicao_Fichas!A:A,A333),0)</f>
      </c>
      <c r="E333" s="11">
        <f>IF(C333&gt;0,IFERROR(D333/C333,""),"")</f>
      </c>
      <c r="F333" s="5"/>
    </row>
    <row r="334" spans="1:6" x14ac:dyDescent="0.25">
      <c r="A334" s="7"/>
      <c r="B334" s="7"/>
      <c r="C334" s="7"/>
      <c r="D334" s="10">
        <f>IFERROR(SUMIFS(Composicao_Fichas!H:H,Composicao_Fichas!A:A,A334),0)</f>
      </c>
      <c r="E334" s="11">
        <f>IF(C334&gt;0,IFERROR(D334/C334,""),"")</f>
      </c>
      <c r="F334" s="5"/>
    </row>
    <row r="335" spans="1:6" x14ac:dyDescent="0.25">
      <c r="A335" s="7"/>
      <c r="B335" s="7"/>
      <c r="C335" s="7"/>
      <c r="D335" s="10">
        <f>IFERROR(SUMIFS(Composicao_Fichas!H:H,Composicao_Fichas!A:A,A335),0)</f>
      </c>
      <c r="E335" s="11">
        <f>IF(C335&gt;0,IFERROR(D335/C335,""),"")</f>
      </c>
      <c r="F335" s="5"/>
    </row>
    <row r="336" spans="1:6" x14ac:dyDescent="0.25">
      <c r="A336" s="7"/>
      <c r="B336" s="7"/>
      <c r="C336" s="7"/>
      <c r="D336" s="10">
        <f>IFERROR(SUMIFS(Composicao_Fichas!H:H,Composicao_Fichas!A:A,A336),0)</f>
      </c>
      <c r="E336" s="11">
        <f>IF(C336&gt;0,IFERROR(D336/C336,""),"")</f>
      </c>
      <c r="F336" s="5"/>
    </row>
    <row r="337" spans="1:6" x14ac:dyDescent="0.25">
      <c r="A337" s="7"/>
      <c r="B337" s="7"/>
      <c r="C337" s="7"/>
      <c r="D337" s="10">
        <f>IFERROR(SUMIFS(Composicao_Fichas!H:H,Composicao_Fichas!A:A,A337),0)</f>
      </c>
      <c r="E337" s="11">
        <f>IF(C337&gt;0,IFERROR(D337/C337,""),"")</f>
      </c>
      <c r="F337" s="5"/>
    </row>
    <row r="338" spans="1:6" x14ac:dyDescent="0.25">
      <c r="A338" s="7"/>
      <c r="B338" s="7"/>
      <c r="C338" s="7"/>
      <c r="D338" s="10">
        <f>IFERROR(SUMIFS(Composicao_Fichas!H:H,Composicao_Fichas!A:A,A338),0)</f>
      </c>
      <c r="E338" s="11">
        <f>IF(C338&gt;0,IFERROR(D338/C338,""),"")</f>
      </c>
      <c r="F338" s="5"/>
    </row>
    <row r="339" spans="1:6" x14ac:dyDescent="0.25">
      <c r="A339" s="7"/>
      <c r="B339" s="7"/>
      <c r="C339" s="7"/>
      <c r="D339" s="10">
        <f>IFERROR(SUMIFS(Composicao_Fichas!H:H,Composicao_Fichas!A:A,A339),0)</f>
      </c>
      <c r="E339" s="11">
        <f>IF(C339&gt;0,IFERROR(D339/C339,""),"")</f>
      </c>
      <c r="F339" s="5"/>
    </row>
    <row r="340" spans="1:6" x14ac:dyDescent="0.25">
      <c r="A340" s="7"/>
      <c r="B340" s="7"/>
      <c r="C340" s="7"/>
      <c r="D340" s="10">
        <f>IFERROR(SUMIFS(Composicao_Fichas!H:H,Composicao_Fichas!A:A,A340),0)</f>
      </c>
      <c r="E340" s="11">
        <f>IF(C340&gt;0,IFERROR(D340/C340,""),"")</f>
      </c>
      <c r="F340" s="5"/>
    </row>
    <row r="341" spans="1:6" x14ac:dyDescent="0.25">
      <c r="A341" s="7"/>
      <c r="B341" s="7"/>
      <c r="C341" s="7"/>
      <c r="D341" s="10">
        <f>IFERROR(SUMIFS(Composicao_Fichas!H:H,Composicao_Fichas!A:A,A341),0)</f>
      </c>
      <c r="E341" s="11">
        <f>IF(C341&gt;0,IFERROR(D341/C341,""),"")</f>
      </c>
      <c r="F341" s="5"/>
    </row>
    <row r="342" spans="1:6" x14ac:dyDescent="0.25">
      <c r="A342" s="7"/>
      <c r="B342" s="7"/>
      <c r="C342" s="7"/>
      <c r="D342" s="10">
        <f>IFERROR(SUMIFS(Composicao_Fichas!H:H,Composicao_Fichas!A:A,A342),0)</f>
      </c>
      <c r="E342" s="11">
        <f>IF(C342&gt;0,IFERROR(D342/C342,""),"")</f>
      </c>
      <c r="F342" s="5"/>
    </row>
    <row r="343" spans="1:6" x14ac:dyDescent="0.25">
      <c r="A343" s="7"/>
      <c r="B343" s="7"/>
      <c r="C343" s="7"/>
      <c r="D343" s="10">
        <f>IFERROR(SUMIFS(Composicao_Fichas!H:H,Composicao_Fichas!A:A,A343),0)</f>
      </c>
      <c r="E343" s="11">
        <f>IF(C343&gt;0,IFERROR(D343/C343,""),"")</f>
      </c>
      <c r="F343" s="5"/>
    </row>
    <row r="344" spans="1:6" x14ac:dyDescent="0.25">
      <c r="A344" s="7"/>
      <c r="B344" s="7"/>
      <c r="C344" s="7"/>
      <c r="D344" s="10">
        <f>IFERROR(SUMIFS(Composicao_Fichas!H:H,Composicao_Fichas!A:A,A344),0)</f>
      </c>
      <c r="E344" s="11">
        <f>IF(C344&gt;0,IFERROR(D344/C344,""),"")</f>
      </c>
      <c r="F344" s="5"/>
    </row>
    <row r="345" spans="1:6" x14ac:dyDescent="0.25">
      <c r="A345" s="7"/>
      <c r="B345" s="7"/>
      <c r="C345" s="7"/>
      <c r="D345" s="10">
        <f>IFERROR(SUMIFS(Composicao_Fichas!H:H,Composicao_Fichas!A:A,A345),0)</f>
      </c>
      <c r="E345" s="11">
        <f>IF(C345&gt;0,IFERROR(D345/C345,""),"")</f>
      </c>
      <c r="F345" s="5"/>
    </row>
    <row r="346" spans="1:6" x14ac:dyDescent="0.25">
      <c r="A346" s="7"/>
      <c r="B346" s="7"/>
      <c r="C346" s="7"/>
      <c r="D346" s="10">
        <f>IFERROR(SUMIFS(Composicao_Fichas!H:H,Composicao_Fichas!A:A,A346),0)</f>
      </c>
      <c r="E346" s="11">
        <f>IF(C346&gt;0,IFERROR(D346/C346,""),"")</f>
      </c>
      <c r="F346" s="5"/>
    </row>
    <row r="347" spans="1:6" x14ac:dyDescent="0.25">
      <c r="A347" s="7"/>
      <c r="B347" s="7"/>
      <c r="C347" s="7"/>
      <c r="D347" s="10">
        <f>IFERROR(SUMIFS(Composicao_Fichas!H:H,Composicao_Fichas!A:A,A347),0)</f>
      </c>
      <c r="E347" s="11">
        <f>IF(C347&gt;0,IFERROR(D347/C347,""),"")</f>
      </c>
      <c r="F347" s="5"/>
    </row>
    <row r="348" spans="1:6" x14ac:dyDescent="0.25">
      <c r="A348" s="7"/>
      <c r="B348" s="7"/>
      <c r="C348" s="7"/>
      <c r="D348" s="10">
        <f>IFERROR(SUMIFS(Composicao_Fichas!H:H,Composicao_Fichas!A:A,A348),0)</f>
      </c>
      <c r="E348" s="11">
        <f>IF(C348&gt;0,IFERROR(D348/C348,""),"")</f>
      </c>
      <c r="F348" s="5"/>
    </row>
    <row r="349" spans="1:6" x14ac:dyDescent="0.25">
      <c r="A349" s="7"/>
      <c r="B349" s="7"/>
      <c r="C349" s="7"/>
      <c r="D349" s="10">
        <f>IFERROR(SUMIFS(Composicao_Fichas!H:H,Composicao_Fichas!A:A,A349),0)</f>
      </c>
      <c r="E349" s="11">
        <f>IF(C349&gt;0,IFERROR(D349/C349,""),"")</f>
      </c>
      <c r="F349" s="5"/>
    </row>
    <row r="350" spans="1:6" x14ac:dyDescent="0.25">
      <c r="A350" s="7"/>
      <c r="B350" s="7"/>
      <c r="C350" s="7"/>
      <c r="D350" s="10">
        <f>IFERROR(SUMIFS(Composicao_Fichas!H:H,Composicao_Fichas!A:A,A350),0)</f>
      </c>
      <c r="E350" s="11">
        <f>IF(C350&gt;0,IFERROR(D350/C350,""),"")</f>
      </c>
      <c r="F350" s="5"/>
    </row>
    <row r="351" spans="1:6" x14ac:dyDescent="0.25">
      <c r="A351" s="7"/>
      <c r="B351" s="7"/>
      <c r="C351" s="7"/>
      <c r="D351" s="10">
        <f>IFERROR(SUMIFS(Composicao_Fichas!H:H,Composicao_Fichas!A:A,A351),0)</f>
      </c>
      <c r="E351" s="11">
        <f>IF(C351&gt;0,IFERROR(D351/C351,""),"")</f>
      </c>
      <c r="F351" s="5"/>
    </row>
    <row r="352" spans="1:6" x14ac:dyDescent="0.25">
      <c r="A352" s="7"/>
      <c r="B352" s="7"/>
      <c r="C352" s="7"/>
      <c r="D352" s="10">
        <f>IFERROR(SUMIFS(Composicao_Fichas!H:H,Composicao_Fichas!A:A,A352),0)</f>
      </c>
      <c r="E352" s="11">
        <f>IF(C352&gt;0,IFERROR(D352/C352,""),"")</f>
      </c>
      <c r="F352" s="5"/>
    </row>
    <row r="353" spans="1:6" x14ac:dyDescent="0.25">
      <c r="A353" s="7"/>
      <c r="B353" s="7"/>
      <c r="C353" s="7"/>
      <c r="D353" s="10">
        <f>IFERROR(SUMIFS(Composicao_Fichas!H:H,Composicao_Fichas!A:A,A353),0)</f>
      </c>
      <c r="E353" s="11">
        <f>IF(C353&gt;0,IFERROR(D353/C353,""),"")</f>
      </c>
      <c r="F353" s="5"/>
    </row>
    <row r="354" spans="1:6" x14ac:dyDescent="0.25">
      <c r="A354" s="7"/>
      <c r="B354" s="7"/>
      <c r="C354" s="7"/>
      <c r="D354" s="10">
        <f>IFERROR(SUMIFS(Composicao_Fichas!H:H,Composicao_Fichas!A:A,A354),0)</f>
      </c>
      <c r="E354" s="11">
        <f>IF(C354&gt;0,IFERROR(D354/C354,""),"")</f>
      </c>
      <c r="F354" s="5"/>
    </row>
    <row r="355" spans="1:6" x14ac:dyDescent="0.25">
      <c r="A355" s="7"/>
      <c r="B355" s="7"/>
      <c r="C355" s="7"/>
      <c r="D355" s="10">
        <f>IFERROR(SUMIFS(Composicao_Fichas!H:H,Composicao_Fichas!A:A,A355),0)</f>
      </c>
      <c r="E355" s="11">
        <f>IF(C355&gt;0,IFERROR(D355/C355,""),"")</f>
      </c>
      <c r="F355" s="5"/>
    </row>
    <row r="356" spans="1:6" x14ac:dyDescent="0.25">
      <c r="A356" s="7"/>
      <c r="B356" s="7"/>
      <c r="C356" s="7"/>
      <c r="D356" s="10">
        <f>IFERROR(SUMIFS(Composicao_Fichas!H:H,Composicao_Fichas!A:A,A356),0)</f>
      </c>
      <c r="E356" s="11">
        <f>IF(C356&gt;0,IFERROR(D356/C356,""),"")</f>
      </c>
      <c r="F356" s="5"/>
    </row>
    <row r="357" spans="1:6" x14ac:dyDescent="0.25">
      <c r="A357" s="7"/>
      <c r="B357" s="7"/>
      <c r="C357" s="7"/>
      <c r="D357" s="10">
        <f>IFERROR(SUMIFS(Composicao_Fichas!H:H,Composicao_Fichas!A:A,A357),0)</f>
      </c>
      <c r="E357" s="11">
        <f>IF(C357&gt;0,IFERROR(D357/C357,""),"")</f>
      </c>
      <c r="F357" s="5"/>
    </row>
    <row r="358" spans="1:6" x14ac:dyDescent="0.25">
      <c r="A358" s="7"/>
      <c r="B358" s="7"/>
      <c r="C358" s="7"/>
      <c r="D358" s="10">
        <f>IFERROR(SUMIFS(Composicao_Fichas!H:H,Composicao_Fichas!A:A,A358),0)</f>
      </c>
      <c r="E358" s="11">
        <f>IF(C358&gt;0,IFERROR(D358/C358,""),"")</f>
      </c>
      <c r="F358" s="5"/>
    </row>
    <row r="359" spans="1:6" x14ac:dyDescent="0.25">
      <c r="A359" s="7"/>
      <c r="B359" s="7"/>
      <c r="C359" s="7"/>
      <c r="D359" s="10">
        <f>IFERROR(SUMIFS(Composicao_Fichas!H:H,Composicao_Fichas!A:A,A359),0)</f>
      </c>
      <c r="E359" s="11">
        <f>IF(C359&gt;0,IFERROR(D359/C359,""),"")</f>
      </c>
      <c r="F359" s="5"/>
    </row>
    <row r="360" spans="1:6" x14ac:dyDescent="0.25">
      <c r="A360" s="7"/>
      <c r="B360" s="7"/>
      <c r="C360" s="7"/>
      <c r="D360" s="10">
        <f>IFERROR(SUMIFS(Composicao_Fichas!H:H,Composicao_Fichas!A:A,A360),0)</f>
      </c>
      <c r="E360" s="11">
        <f>IF(C360&gt;0,IFERROR(D360/C360,""),"")</f>
      </c>
      <c r="F360" s="5"/>
    </row>
    <row r="361" spans="1:6" x14ac:dyDescent="0.25">
      <c r="A361" s="7"/>
      <c r="B361" s="7"/>
      <c r="C361" s="7"/>
      <c r="D361" s="10">
        <f>IFERROR(SUMIFS(Composicao_Fichas!H:H,Composicao_Fichas!A:A,A361),0)</f>
      </c>
      <c r="E361" s="11">
        <f>IF(C361&gt;0,IFERROR(D361/C361,""),"")</f>
      </c>
      <c r="F361" s="5"/>
    </row>
    <row r="362" spans="1:6" x14ac:dyDescent="0.25">
      <c r="A362" s="7"/>
      <c r="B362" s="7"/>
      <c r="C362" s="7"/>
      <c r="D362" s="10">
        <f>IFERROR(SUMIFS(Composicao_Fichas!H:H,Composicao_Fichas!A:A,A362),0)</f>
      </c>
      <c r="E362" s="11">
        <f>IF(C362&gt;0,IFERROR(D362/C362,""),"")</f>
      </c>
      <c r="F362" s="5"/>
    </row>
    <row r="363" spans="1:6" x14ac:dyDescent="0.25">
      <c r="A363" s="7"/>
      <c r="B363" s="7"/>
      <c r="C363" s="7"/>
      <c r="D363" s="10">
        <f>IFERROR(SUMIFS(Composicao_Fichas!H:H,Composicao_Fichas!A:A,A363),0)</f>
      </c>
      <c r="E363" s="11">
        <f>IF(C363&gt;0,IFERROR(D363/C363,""),"")</f>
      </c>
      <c r="F363" s="5"/>
    </row>
    <row r="364" spans="1:6" x14ac:dyDescent="0.25">
      <c r="A364" s="7"/>
      <c r="B364" s="7"/>
      <c r="C364" s="7"/>
      <c r="D364" s="10">
        <f>IFERROR(SUMIFS(Composicao_Fichas!H:H,Composicao_Fichas!A:A,A364),0)</f>
      </c>
      <c r="E364" s="11">
        <f>IF(C364&gt;0,IFERROR(D364/C364,""),"")</f>
      </c>
      <c r="F364" s="5"/>
    </row>
    <row r="365" spans="1:6" x14ac:dyDescent="0.25">
      <c r="A365" s="7"/>
      <c r="B365" s="7"/>
      <c r="C365" s="7"/>
      <c r="D365" s="10">
        <f>IFERROR(SUMIFS(Composicao_Fichas!H:H,Composicao_Fichas!A:A,A365),0)</f>
      </c>
      <c r="E365" s="11">
        <f>IF(C365&gt;0,IFERROR(D365/C365,""),"")</f>
      </c>
      <c r="F365" s="5"/>
    </row>
    <row r="366" spans="1:6" x14ac:dyDescent="0.25">
      <c r="A366" s="7"/>
      <c r="B366" s="7"/>
      <c r="C366" s="7"/>
      <c r="D366" s="10">
        <f>IFERROR(SUMIFS(Composicao_Fichas!H:H,Composicao_Fichas!A:A,A366),0)</f>
      </c>
      <c r="E366" s="11">
        <f>IF(C366&gt;0,IFERROR(D366/C366,""),"")</f>
      </c>
      <c r="F366" s="5"/>
    </row>
    <row r="367" spans="1:6" x14ac:dyDescent="0.25">
      <c r="A367" s="7"/>
      <c r="B367" s="7"/>
      <c r="C367" s="7"/>
      <c r="D367" s="10">
        <f>IFERROR(SUMIFS(Composicao_Fichas!H:H,Composicao_Fichas!A:A,A367),0)</f>
      </c>
      <c r="E367" s="11">
        <f>IF(C367&gt;0,IFERROR(D367/C367,""),"")</f>
      </c>
      <c r="F367" s="5"/>
    </row>
    <row r="368" spans="1:6" x14ac:dyDescent="0.25">
      <c r="A368" s="7"/>
      <c r="B368" s="7"/>
      <c r="C368" s="7"/>
      <c r="D368" s="10">
        <f>IFERROR(SUMIFS(Composicao_Fichas!H:H,Composicao_Fichas!A:A,A368),0)</f>
      </c>
      <c r="E368" s="11">
        <f>IF(C368&gt;0,IFERROR(D368/C368,""),"")</f>
      </c>
      <c r="F368" s="5"/>
    </row>
    <row r="369" spans="1:6" x14ac:dyDescent="0.25">
      <c r="A369" s="7"/>
      <c r="B369" s="7"/>
      <c r="C369" s="7"/>
      <c r="D369" s="10">
        <f>IFERROR(SUMIFS(Composicao_Fichas!H:H,Composicao_Fichas!A:A,A369),0)</f>
      </c>
      <c r="E369" s="11">
        <f>IF(C369&gt;0,IFERROR(D369/C369,""),"")</f>
      </c>
      <c r="F369" s="5"/>
    </row>
    <row r="370" spans="1:6" x14ac:dyDescent="0.25">
      <c r="A370" s="7"/>
      <c r="B370" s="7"/>
      <c r="C370" s="7"/>
      <c r="D370" s="10">
        <f>IFERROR(SUMIFS(Composicao_Fichas!H:H,Composicao_Fichas!A:A,A370),0)</f>
      </c>
      <c r="E370" s="11">
        <f>IF(C370&gt;0,IFERROR(D370/C370,""),"")</f>
      </c>
      <c r="F370" s="5"/>
    </row>
    <row r="371" spans="1:6" x14ac:dyDescent="0.25">
      <c r="A371" s="7"/>
      <c r="B371" s="7"/>
      <c r="C371" s="7"/>
      <c r="D371" s="10">
        <f>IFERROR(SUMIFS(Composicao_Fichas!H:H,Composicao_Fichas!A:A,A371),0)</f>
      </c>
      <c r="E371" s="11">
        <f>IF(C371&gt;0,IFERROR(D371/C371,""),"")</f>
      </c>
      <c r="F371" s="5"/>
    </row>
    <row r="372" spans="1:6" x14ac:dyDescent="0.25">
      <c r="A372" s="7"/>
      <c r="B372" s="7"/>
      <c r="C372" s="7"/>
      <c r="D372" s="10">
        <f>IFERROR(SUMIFS(Composicao_Fichas!H:H,Composicao_Fichas!A:A,A372),0)</f>
      </c>
      <c r="E372" s="11">
        <f>IF(C372&gt;0,IFERROR(D372/C372,""),"")</f>
      </c>
      <c r="F372" s="5"/>
    </row>
    <row r="373" spans="1:6" x14ac:dyDescent="0.25">
      <c r="A373" s="7"/>
      <c r="B373" s="7"/>
      <c r="C373" s="7"/>
      <c r="D373" s="10">
        <f>IFERROR(SUMIFS(Composicao_Fichas!H:H,Composicao_Fichas!A:A,A373),0)</f>
      </c>
      <c r="E373" s="11">
        <f>IF(C373&gt;0,IFERROR(D373/C373,""),"")</f>
      </c>
      <c r="F373" s="5"/>
    </row>
    <row r="374" spans="1:6" x14ac:dyDescent="0.25">
      <c r="A374" s="7"/>
      <c r="B374" s="7"/>
      <c r="C374" s="7"/>
      <c r="D374" s="10">
        <f>IFERROR(SUMIFS(Composicao_Fichas!H:H,Composicao_Fichas!A:A,A374),0)</f>
      </c>
      <c r="E374" s="11">
        <f>IF(C374&gt;0,IFERROR(D374/C374,""),"")</f>
      </c>
      <c r="F374" s="5"/>
    </row>
    <row r="375" spans="1:6" x14ac:dyDescent="0.25">
      <c r="A375" s="7"/>
      <c r="B375" s="7"/>
      <c r="C375" s="7"/>
      <c r="D375" s="10">
        <f>IFERROR(SUMIFS(Composicao_Fichas!H:H,Composicao_Fichas!A:A,A375),0)</f>
      </c>
      <c r="E375" s="11">
        <f>IF(C375&gt;0,IFERROR(D375/C375,""),"")</f>
      </c>
      <c r="F375" s="5"/>
    </row>
    <row r="376" spans="1:6" x14ac:dyDescent="0.25">
      <c r="A376" s="7"/>
      <c r="B376" s="7"/>
      <c r="C376" s="7"/>
      <c r="D376" s="10">
        <f>IFERROR(SUMIFS(Composicao_Fichas!H:H,Composicao_Fichas!A:A,A376),0)</f>
      </c>
      <c r="E376" s="11">
        <f>IF(C376&gt;0,IFERROR(D376/C376,""),"")</f>
      </c>
      <c r="F376" s="5"/>
    </row>
    <row r="377" spans="1:6" x14ac:dyDescent="0.25">
      <c r="A377" s="7"/>
      <c r="B377" s="7"/>
      <c r="C377" s="7"/>
      <c r="D377" s="10">
        <f>IFERROR(SUMIFS(Composicao_Fichas!H:H,Composicao_Fichas!A:A,A377),0)</f>
      </c>
      <c r="E377" s="11">
        <f>IF(C377&gt;0,IFERROR(D377/C377,""),"")</f>
      </c>
      <c r="F377" s="5"/>
    </row>
    <row r="378" spans="1:6" x14ac:dyDescent="0.25">
      <c r="A378" s="7"/>
      <c r="B378" s="7"/>
      <c r="C378" s="7"/>
      <c r="D378" s="10">
        <f>IFERROR(SUMIFS(Composicao_Fichas!H:H,Composicao_Fichas!A:A,A378),0)</f>
      </c>
      <c r="E378" s="11">
        <f>IF(C378&gt;0,IFERROR(D378/C378,""),"")</f>
      </c>
      <c r="F378" s="5"/>
    </row>
    <row r="379" spans="1:6" x14ac:dyDescent="0.25">
      <c r="A379" s="7"/>
      <c r="B379" s="7"/>
      <c r="C379" s="7"/>
      <c r="D379" s="10">
        <f>IFERROR(SUMIFS(Composicao_Fichas!H:H,Composicao_Fichas!A:A,A379),0)</f>
      </c>
      <c r="E379" s="11">
        <f>IF(C379&gt;0,IFERROR(D379/C379,""),"")</f>
      </c>
      <c r="F379" s="5"/>
    </row>
    <row r="380" spans="1:6" x14ac:dyDescent="0.25">
      <c r="A380" s="7"/>
      <c r="B380" s="7"/>
      <c r="C380" s="7"/>
      <c r="D380" s="10">
        <f>IFERROR(SUMIFS(Composicao_Fichas!H:H,Composicao_Fichas!A:A,A380),0)</f>
      </c>
      <c r="E380" s="11">
        <f>IF(C380&gt;0,IFERROR(D380/C380,""),"")</f>
      </c>
      <c r="F380" s="5"/>
    </row>
    <row r="381" spans="1:6" x14ac:dyDescent="0.25">
      <c r="A381" s="7"/>
      <c r="B381" s="7"/>
      <c r="C381" s="7"/>
      <c r="D381" s="10">
        <f>IFERROR(SUMIFS(Composicao_Fichas!H:H,Composicao_Fichas!A:A,A381),0)</f>
      </c>
      <c r="E381" s="11">
        <f>IF(C381&gt;0,IFERROR(D381/C381,""),"")</f>
      </c>
      <c r="F381" s="5"/>
    </row>
    <row r="382" spans="1:6" x14ac:dyDescent="0.25">
      <c r="A382" s="7"/>
      <c r="B382" s="7"/>
      <c r="C382" s="7"/>
      <c r="D382" s="10">
        <f>IFERROR(SUMIFS(Composicao_Fichas!H:H,Composicao_Fichas!A:A,A382),0)</f>
      </c>
      <c r="E382" s="11">
        <f>IF(C382&gt;0,IFERROR(D382/C382,""),"")</f>
      </c>
      <c r="F382" s="5"/>
    </row>
    <row r="383" spans="1:6" x14ac:dyDescent="0.25">
      <c r="A383" s="7"/>
      <c r="B383" s="7"/>
      <c r="C383" s="7"/>
      <c r="D383" s="10">
        <f>IFERROR(SUMIFS(Composicao_Fichas!H:H,Composicao_Fichas!A:A,A383),0)</f>
      </c>
      <c r="E383" s="11">
        <f>IF(C383&gt;0,IFERROR(D383/C383,""),"")</f>
      </c>
      <c r="F383" s="5"/>
    </row>
    <row r="384" spans="1:6" x14ac:dyDescent="0.25">
      <c r="A384" s="7"/>
      <c r="B384" s="7"/>
      <c r="C384" s="7"/>
      <c r="D384" s="10">
        <f>IFERROR(SUMIFS(Composicao_Fichas!H:H,Composicao_Fichas!A:A,A384),0)</f>
      </c>
      <c r="E384" s="11">
        <f>IF(C384&gt;0,IFERROR(D384/C384,""),"")</f>
      </c>
      <c r="F384" s="5"/>
    </row>
    <row r="385" spans="1:6" x14ac:dyDescent="0.25">
      <c r="A385" s="7"/>
      <c r="B385" s="7"/>
      <c r="C385" s="7"/>
      <c r="D385" s="10">
        <f>IFERROR(SUMIFS(Composicao_Fichas!H:H,Composicao_Fichas!A:A,A385),0)</f>
      </c>
      <c r="E385" s="11">
        <f>IF(C385&gt;0,IFERROR(D385/C385,""),"")</f>
      </c>
      <c r="F385" s="5"/>
    </row>
    <row r="386" spans="1:6" x14ac:dyDescent="0.25">
      <c r="A386" s="7"/>
      <c r="B386" s="7"/>
      <c r="C386" s="7"/>
      <c r="D386" s="10">
        <f>IFERROR(SUMIFS(Composicao_Fichas!H:H,Composicao_Fichas!A:A,A386),0)</f>
      </c>
      <c r="E386" s="11">
        <f>IF(C386&gt;0,IFERROR(D386/C386,""),"")</f>
      </c>
      <c r="F386" s="5"/>
    </row>
    <row r="387" spans="1:6" x14ac:dyDescent="0.25">
      <c r="A387" s="7"/>
      <c r="B387" s="7"/>
      <c r="C387" s="7"/>
      <c r="D387" s="10">
        <f>IFERROR(SUMIFS(Composicao_Fichas!H:H,Composicao_Fichas!A:A,A387),0)</f>
      </c>
      <c r="E387" s="11">
        <f>IF(C387&gt;0,IFERROR(D387/C387,""),"")</f>
      </c>
      <c r="F387" s="5"/>
    </row>
    <row r="388" spans="1:6" x14ac:dyDescent="0.25">
      <c r="A388" s="7"/>
      <c r="B388" s="7"/>
      <c r="C388" s="7"/>
      <c r="D388" s="10">
        <f>IFERROR(SUMIFS(Composicao_Fichas!H:H,Composicao_Fichas!A:A,A388),0)</f>
      </c>
      <c r="E388" s="11">
        <f>IF(C388&gt;0,IFERROR(D388/C388,""),"")</f>
      </c>
      <c r="F388" s="5"/>
    </row>
    <row r="389" spans="1:6" x14ac:dyDescent="0.25">
      <c r="A389" s="7"/>
      <c r="B389" s="7"/>
      <c r="C389" s="7"/>
      <c r="D389" s="10">
        <f>IFERROR(SUMIFS(Composicao_Fichas!H:H,Composicao_Fichas!A:A,A389),0)</f>
      </c>
      <c r="E389" s="11">
        <f>IF(C389&gt;0,IFERROR(D389/C389,""),"")</f>
      </c>
      <c r="F389" s="5"/>
    </row>
    <row r="390" spans="1:6" x14ac:dyDescent="0.25">
      <c r="A390" s="7"/>
      <c r="B390" s="7"/>
      <c r="C390" s="7"/>
      <c r="D390" s="10">
        <f>IFERROR(SUMIFS(Composicao_Fichas!H:H,Composicao_Fichas!A:A,A390),0)</f>
      </c>
      <c r="E390" s="11">
        <f>IF(C390&gt;0,IFERROR(D390/C390,""),"")</f>
      </c>
      <c r="F390" s="5"/>
    </row>
    <row r="391" spans="1:6" x14ac:dyDescent="0.25">
      <c r="A391" s="7"/>
      <c r="B391" s="7"/>
      <c r="C391" s="7"/>
      <c r="D391" s="10">
        <f>IFERROR(SUMIFS(Composicao_Fichas!H:H,Composicao_Fichas!A:A,A391),0)</f>
      </c>
      <c r="E391" s="11">
        <f>IF(C391&gt;0,IFERROR(D391/C391,""),"")</f>
      </c>
      <c r="F391" s="5"/>
    </row>
    <row r="392" spans="1:6" x14ac:dyDescent="0.25">
      <c r="A392" s="7"/>
      <c r="B392" s="7"/>
      <c r="C392" s="7"/>
      <c r="D392" s="10">
        <f>IFERROR(SUMIFS(Composicao_Fichas!H:H,Composicao_Fichas!A:A,A392),0)</f>
      </c>
      <c r="E392" s="11">
        <f>IF(C392&gt;0,IFERROR(D392/C392,""),"")</f>
      </c>
      <c r="F392" s="5"/>
    </row>
    <row r="393" spans="1:6" x14ac:dyDescent="0.25">
      <c r="A393" s="7"/>
      <c r="B393" s="7"/>
      <c r="C393" s="7"/>
      <c r="D393" s="10">
        <f>IFERROR(SUMIFS(Composicao_Fichas!H:H,Composicao_Fichas!A:A,A393),0)</f>
      </c>
      <c r="E393" s="11">
        <f>IF(C393&gt;0,IFERROR(D393/C393,""),"")</f>
      </c>
      <c r="F393" s="5"/>
    </row>
    <row r="394" spans="1:6" x14ac:dyDescent="0.25">
      <c r="A394" s="7"/>
      <c r="B394" s="7"/>
      <c r="C394" s="7"/>
      <c r="D394" s="10">
        <f>IFERROR(SUMIFS(Composicao_Fichas!H:H,Composicao_Fichas!A:A,A394),0)</f>
      </c>
      <c r="E394" s="11">
        <f>IF(C394&gt;0,IFERROR(D394/C394,""),"")</f>
      </c>
      <c r="F394" s="5"/>
    </row>
    <row r="395" spans="1:6" x14ac:dyDescent="0.25">
      <c r="A395" s="7"/>
      <c r="B395" s="7"/>
      <c r="C395" s="7"/>
      <c r="D395" s="10">
        <f>IFERROR(SUMIFS(Composicao_Fichas!H:H,Composicao_Fichas!A:A,A395),0)</f>
      </c>
      <c r="E395" s="11">
        <f>IF(C395&gt;0,IFERROR(D395/C395,""),"")</f>
      </c>
      <c r="F395" s="5"/>
    </row>
    <row r="396" spans="1:6" x14ac:dyDescent="0.25">
      <c r="A396" s="7"/>
      <c r="B396" s="7"/>
      <c r="C396" s="7"/>
      <c r="D396" s="10">
        <f>IFERROR(SUMIFS(Composicao_Fichas!H:H,Composicao_Fichas!A:A,A396),0)</f>
      </c>
      <c r="E396" s="11">
        <f>IF(C396&gt;0,IFERROR(D396/C396,""),"")</f>
      </c>
      <c r="F396" s="5"/>
    </row>
    <row r="397" spans="1:6" x14ac:dyDescent="0.25">
      <c r="A397" s="7"/>
      <c r="B397" s="7"/>
      <c r="C397" s="7"/>
      <c r="D397" s="10">
        <f>IFERROR(SUMIFS(Composicao_Fichas!H:H,Composicao_Fichas!A:A,A397),0)</f>
      </c>
      <c r="E397" s="11">
        <f>IF(C397&gt;0,IFERROR(D397/C397,""),"")</f>
      </c>
      <c r="F397" s="5"/>
    </row>
    <row r="398" spans="1:6" x14ac:dyDescent="0.25">
      <c r="A398" s="7"/>
      <c r="B398" s="7"/>
      <c r="C398" s="7"/>
      <c r="D398" s="10">
        <f>IFERROR(SUMIFS(Composicao_Fichas!H:H,Composicao_Fichas!A:A,A398),0)</f>
      </c>
      <c r="E398" s="11">
        <f>IF(C398&gt;0,IFERROR(D398/C398,""),"")</f>
      </c>
      <c r="F398" s="5"/>
    </row>
    <row r="399" spans="1:6" x14ac:dyDescent="0.25">
      <c r="A399" s="7"/>
      <c r="B399" s="7"/>
      <c r="C399" s="7"/>
      <c r="D399" s="10">
        <f>IFERROR(SUMIFS(Composicao_Fichas!H:H,Composicao_Fichas!A:A,A399),0)</f>
      </c>
      <c r="E399" s="11">
        <f>IF(C399&gt;0,IFERROR(D399/C399,""),"")</f>
      </c>
      <c r="F399" s="5"/>
    </row>
    <row r="400" spans="1:6" x14ac:dyDescent="0.25">
      <c r="A400" s="7"/>
      <c r="B400" s="7"/>
      <c r="C400" s="7"/>
      <c r="D400" s="10">
        <f>IFERROR(SUMIFS(Composicao_Fichas!H:H,Composicao_Fichas!A:A,A400),0)</f>
      </c>
      <c r="E400" s="11">
        <f>IF(C400&gt;0,IFERROR(D400/C400,""),"")</f>
      </c>
      <c r="F400" s="5"/>
    </row>
    <row r="401" spans="1:6" x14ac:dyDescent="0.25">
      <c r="A401" s="7"/>
      <c r="B401" s="7"/>
      <c r="C401" s="7"/>
      <c r="D401" s="10">
        <f>IFERROR(SUMIFS(Composicao_Fichas!H:H,Composicao_Fichas!A:A,A401),0)</f>
      </c>
      <c r="E401" s="11">
        <f>IF(C401&gt;0,IFERROR(D401/C401,""),"")</f>
      </c>
      <c r="F401" s="5"/>
    </row>
    <row r="402" spans="1:6" x14ac:dyDescent="0.25">
      <c r="A402" s="7"/>
      <c r="B402" s="7"/>
      <c r="C402" s="7"/>
      <c r="D402" s="10">
        <f>IFERROR(SUMIFS(Composicao_Fichas!H:H,Composicao_Fichas!A:A,A402),0)</f>
      </c>
      <c r="E402" s="11">
        <f>IF(C402&gt;0,IFERROR(D402/C402,""),"")</f>
      </c>
      <c r="F402" s="5"/>
    </row>
    <row r="403" spans="1:6" x14ac:dyDescent="0.25">
      <c r="A403" s="7"/>
      <c r="B403" s="7"/>
      <c r="C403" s="7"/>
      <c r="D403" s="10">
        <f>IFERROR(SUMIFS(Composicao_Fichas!H:H,Composicao_Fichas!A:A,A403),0)</f>
      </c>
      <c r="E403" s="11">
        <f>IF(C403&gt;0,IFERROR(D403/C403,""),"")</f>
      </c>
      <c r="F403" s="5"/>
    </row>
    <row r="404" spans="1:6" x14ac:dyDescent="0.25">
      <c r="A404" s="7"/>
      <c r="B404" s="7"/>
      <c r="C404" s="7"/>
      <c r="D404" s="10">
        <f>IFERROR(SUMIFS(Composicao_Fichas!H:H,Composicao_Fichas!A:A,A404),0)</f>
      </c>
      <c r="E404" s="11">
        <f>IF(C404&gt;0,IFERROR(D404/C404,""),"")</f>
      </c>
      <c r="F404" s="5"/>
    </row>
    <row r="405" spans="1:6" x14ac:dyDescent="0.25">
      <c r="A405" s="7"/>
      <c r="B405" s="7"/>
      <c r="C405" s="7"/>
      <c r="D405" s="10">
        <f>IFERROR(SUMIFS(Composicao_Fichas!H:H,Composicao_Fichas!A:A,A405),0)</f>
      </c>
      <c r="E405" s="11">
        <f>IF(C405&gt;0,IFERROR(D405/C405,""),"")</f>
      </c>
      <c r="F405" s="5"/>
    </row>
    <row r="406" spans="1:6" x14ac:dyDescent="0.25">
      <c r="A406" s="7"/>
      <c r="B406" s="7"/>
      <c r="C406" s="7"/>
      <c r="D406" s="10">
        <f>IFERROR(SUMIFS(Composicao_Fichas!H:H,Composicao_Fichas!A:A,A406),0)</f>
      </c>
      <c r="E406" s="11">
        <f>IF(C406&gt;0,IFERROR(D406/C406,""),"")</f>
      </c>
      <c r="F406" s="5"/>
    </row>
    <row r="407" spans="1:6" x14ac:dyDescent="0.25">
      <c r="A407" s="7"/>
      <c r="B407" s="7"/>
      <c r="C407" s="7"/>
      <c r="D407" s="10">
        <f>IFERROR(SUMIFS(Composicao_Fichas!H:H,Composicao_Fichas!A:A,A407),0)</f>
      </c>
      <c r="E407" s="11">
        <f>IF(C407&gt;0,IFERROR(D407/C407,""),"")</f>
      </c>
      <c r="F407" s="5"/>
    </row>
    <row r="408" spans="1:6" x14ac:dyDescent="0.25">
      <c r="A408" s="7"/>
      <c r="B408" s="7"/>
      <c r="C408" s="7"/>
      <c r="D408" s="10">
        <f>IFERROR(SUMIFS(Composicao_Fichas!H:H,Composicao_Fichas!A:A,A408),0)</f>
      </c>
      <c r="E408" s="11">
        <f>IF(C408&gt;0,IFERROR(D408/C408,""),"")</f>
      </c>
      <c r="F408" s="5"/>
    </row>
    <row r="409" spans="1:6" x14ac:dyDescent="0.25">
      <c r="A409" s="7"/>
      <c r="B409" s="7"/>
      <c r="C409" s="7"/>
      <c r="D409" s="10">
        <f>IFERROR(SUMIFS(Composicao_Fichas!H:H,Composicao_Fichas!A:A,A409),0)</f>
      </c>
      <c r="E409" s="11">
        <f>IF(C409&gt;0,IFERROR(D409/C409,""),"")</f>
      </c>
      <c r="F409" s="5"/>
    </row>
    <row r="410" spans="1:6" x14ac:dyDescent="0.25">
      <c r="A410" s="7"/>
      <c r="B410" s="7"/>
      <c r="C410" s="7"/>
      <c r="D410" s="10">
        <f>IFERROR(SUMIFS(Composicao_Fichas!H:H,Composicao_Fichas!A:A,A410),0)</f>
      </c>
      <c r="E410" s="11">
        <f>IF(C410&gt;0,IFERROR(D410/C410,""),"")</f>
      </c>
      <c r="F410" s="5"/>
    </row>
    <row r="411" spans="1:6" x14ac:dyDescent="0.25">
      <c r="A411" s="7"/>
      <c r="B411" s="7"/>
      <c r="C411" s="7"/>
      <c r="D411" s="10">
        <f>IFERROR(SUMIFS(Composicao_Fichas!H:H,Composicao_Fichas!A:A,A411),0)</f>
      </c>
      <c r="E411" s="11">
        <f>IF(C411&gt;0,IFERROR(D411/C411,""),"")</f>
      </c>
      <c r="F411" s="5"/>
    </row>
    <row r="412" spans="1:6" x14ac:dyDescent="0.25">
      <c r="A412" s="7"/>
      <c r="B412" s="7"/>
      <c r="C412" s="7"/>
      <c r="D412" s="10">
        <f>IFERROR(SUMIFS(Composicao_Fichas!H:H,Composicao_Fichas!A:A,A412),0)</f>
      </c>
      <c r="E412" s="11">
        <f>IF(C412&gt;0,IFERROR(D412/C412,""),"")</f>
      </c>
      <c r="F412" s="5"/>
    </row>
    <row r="413" spans="1:6" x14ac:dyDescent="0.25">
      <c r="A413" s="7"/>
      <c r="B413" s="7"/>
      <c r="C413" s="7"/>
      <c r="D413" s="10">
        <f>IFERROR(SUMIFS(Composicao_Fichas!H:H,Composicao_Fichas!A:A,A413),0)</f>
      </c>
      <c r="E413" s="11">
        <f>IF(C413&gt;0,IFERROR(D413/C413,""),"")</f>
      </c>
      <c r="F413" s="5"/>
    </row>
    <row r="414" spans="1:6" x14ac:dyDescent="0.25">
      <c r="A414" s="7"/>
      <c r="B414" s="7"/>
      <c r="C414" s="7"/>
      <c r="D414" s="10">
        <f>IFERROR(SUMIFS(Composicao_Fichas!H:H,Composicao_Fichas!A:A,A414),0)</f>
      </c>
      <c r="E414" s="11">
        <f>IF(C414&gt;0,IFERROR(D414/C414,""),"")</f>
      </c>
      <c r="F414" s="5"/>
    </row>
    <row r="415" spans="1:6" x14ac:dyDescent="0.25">
      <c r="A415" s="7"/>
      <c r="B415" s="7"/>
      <c r="C415" s="7"/>
      <c r="D415" s="10">
        <f>IFERROR(SUMIFS(Composicao_Fichas!H:H,Composicao_Fichas!A:A,A415),0)</f>
      </c>
      <c r="E415" s="11">
        <f>IF(C415&gt;0,IFERROR(D415/C415,""),"")</f>
      </c>
      <c r="F415" s="5"/>
    </row>
    <row r="416" spans="1:6" x14ac:dyDescent="0.25">
      <c r="A416" s="7"/>
      <c r="B416" s="7"/>
      <c r="C416" s="7"/>
      <c r="D416" s="10">
        <f>IFERROR(SUMIFS(Composicao_Fichas!H:H,Composicao_Fichas!A:A,A416),0)</f>
      </c>
      <c r="E416" s="11">
        <f>IF(C416&gt;0,IFERROR(D416/C416,""),"")</f>
      </c>
      <c r="F416" s="5"/>
    </row>
    <row r="417" spans="1:6" x14ac:dyDescent="0.25">
      <c r="A417" s="7"/>
      <c r="B417" s="7"/>
      <c r="C417" s="7"/>
      <c r="D417" s="10">
        <f>IFERROR(SUMIFS(Composicao_Fichas!H:H,Composicao_Fichas!A:A,A417),0)</f>
      </c>
      <c r="E417" s="11">
        <f>IF(C417&gt;0,IFERROR(D417/C417,""),"")</f>
      </c>
      <c r="F417" s="5"/>
    </row>
    <row r="418" spans="1:6" x14ac:dyDescent="0.25">
      <c r="A418" s="7"/>
      <c r="B418" s="7"/>
      <c r="C418" s="7"/>
      <c r="D418" s="10">
        <f>IFERROR(SUMIFS(Composicao_Fichas!H:H,Composicao_Fichas!A:A,A418),0)</f>
      </c>
      <c r="E418" s="11">
        <f>IF(C418&gt;0,IFERROR(D418/C418,""),"")</f>
      </c>
      <c r="F418" s="5"/>
    </row>
    <row r="419" spans="1:6" x14ac:dyDescent="0.25">
      <c r="A419" s="7"/>
      <c r="B419" s="7"/>
      <c r="C419" s="7"/>
      <c r="D419" s="10">
        <f>IFERROR(SUMIFS(Composicao_Fichas!H:H,Composicao_Fichas!A:A,A419),0)</f>
      </c>
      <c r="E419" s="11">
        <f>IF(C419&gt;0,IFERROR(D419/C419,""),"")</f>
      </c>
      <c r="F419" s="5"/>
    </row>
    <row r="420" spans="1:6" x14ac:dyDescent="0.25">
      <c r="A420" s="7"/>
      <c r="B420" s="7"/>
      <c r="C420" s="7"/>
      <c r="D420" s="10">
        <f>IFERROR(SUMIFS(Composicao_Fichas!H:H,Composicao_Fichas!A:A,A420),0)</f>
      </c>
      <c r="E420" s="11">
        <f>IF(C420&gt;0,IFERROR(D420/C420,""),"")</f>
      </c>
      <c r="F420" s="5"/>
    </row>
    <row r="421" spans="1:6" x14ac:dyDescent="0.25">
      <c r="A421" s="7"/>
      <c r="B421" s="7"/>
      <c r="C421" s="7"/>
      <c r="D421" s="10">
        <f>IFERROR(SUMIFS(Composicao_Fichas!H:H,Composicao_Fichas!A:A,A421),0)</f>
      </c>
      <c r="E421" s="11">
        <f>IF(C421&gt;0,IFERROR(D421/C421,""),"")</f>
      </c>
      <c r="F421" s="5"/>
    </row>
    <row r="422" spans="1:6" x14ac:dyDescent="0.25">
      <c r="A422" s="7"/>
      <c r="B422" s="7"/>
      <c r="C422" s="7"/>
      <c r="D422" s="10">
        <f>IFERROR(SUMIFS(Composicao_Fichas!H:H,Composicao_Fichas!A:A,A422),0)</f>
      </c>
      <c r="E422" s="11">
        <f>IF(C422&gt;0,IFERROR(D422/C422,""),"")</f>
      </c>
      <c r="F422" s="5"/>
    </row>
    <row r="423" spans="1:6" x14ac:dyDescent="0.25">
      <c r="A423" s="7"/>
      <c r="B423" s="7"/>
      <c r="C423" s="7"/>
      <c r="D423" s="10">
        <f>IFERROR(SUMIFS(Composicao_Fichas!H:H,Composicao_Fichas!A:A,A423),0)</f>
      </c>
      <c r="E423" s="11">
        <f>IF(C423&gt;0,IFERROR(D423/C423,""),"")</f>
      </c>
      <c r="F423" s="5"/>
    </row>
    <row r="424" spans="1:6" x14ac:dyDescent="0.25">
      <c r="A424" s="7"/>
      <c r="B424" s="7"/>
      <c r="C424" s="7"/>
      <c r="D424" s="10">
        <f>IFERROR(SUMIFS(Composicao_Fichas!H:H,Composicao_Fichas!A:A,A424),0)</f>
      </c>
      <c r="E424" s="11">
        <f>IF(C424&gt;0,IFERROR(D424/C424,""),"")</f>
      </c>
      <c r="F424" s="5"/>
    </row>
    <row r="425" spans="1:6" x14ac:dyDescent="0.25">
      <c r="A425" s="7"/>
      <c r="B425" s="7"/>
      <c r="C425" s="7"/>
      <c r="D425" s="10">
        <f>IFERROR(SUMIFS(Composicao_Fichas!H:H,Composicao_Fichas!A:A,A425),0)</f>
      </c>
      <c r="E425" s="11">
        <f>IF(C425&gt;0,IFERROR(D425/C425,""),"")</f>
      </c>
      <c r="F425" s="5"/>
    </row>
    <row r="426" spans="1:6" x14ac:dyDescent="0.25">
      <c r="A426" s="7"/>
      <c r="B426" s="7"/>
      <c r="C426" s="7"/>
      <c r="D426" s="10">
        <f>IFERROR(SUMIFS(Composicao_Fichas!H:H,Composicao_Fichas!A:A,A426),0)</f>
      </c>
      <c r="E426" s="11">
        <f>IF(C426&gt;0,IFERROR(D426/C426,""),"")</f>
      </c>
      <c r="F426" s="5"/>
    </row>
    <row r="427" spans="1:6" x14ac:dyDescent="0.25">
      <c r="A427" s="7"/>
      <c r="B427" s="7"/>
      <c r="C427" s="7"/>
      <c r="D427" s="10">
        <f>IFERROR(SUMIFS(Composicao_Fichas!H:H,Composicao_Fichas!A:A,A427),0)</f>
      </c>
      <c r="E427" s="11">
        <f>IF(C427&gt;0,IFERROR(D427/C427,""),"")</f>
      </c>
      <c r="F427" s="5"/>
    </row>
    <row r="428" spans="1:6" x14ac:dyDescent="0.25">
      <c r="A428" s="7"/>
      <c r="B428" s="7"/>
      <c r="C428" s="7"/>
      <c r="D428" s="10">
        <f>IFERROR(SUMIFS(Composicao_Fichas!H:H,Composicao_Fichas!A:A,A428),0)</f>
      </c>
      <c r="E428" s="11">
        <f>IF(C428&gt;0,IFERROR(D428/C428,""),"")</f>
      </c>
      <c r="F428" s="5"/>
    </row>
    <row r="429" spans="1:6" x14ac:dyDescent="0.25">
      <c r="A429" s="7"/>
      <c r="B429" s="7"/>
      <c r="C429" s="7"/>
      <c r="D429" s="10">
        <f>IFERROR(SUMIFS(Composicao_Fichas!H:H,Composicao_Fichas!A:A,A429),0)</f>
      </c>
      <c r="E429" s="11">
        <f>IF(C429&gt;0,IFERROR(D429/C429,""),"")</f>
      </c>
      <c r="F429" s="5"/>
    </row>
    <row r="430" spans="1:6" x14ac:dyDescent="0.25">
      <c r="A430" s="7"/>
      <c r="B430" s="7"/>
      <c r="C430" s="7"/>
      <c r="D430" s="10">
        <f>IFERROR(SUMIFS(Composicao_Fichas!H:H,Composicao_Fichas!A:A,A430),0)</f>
      </c>
      <c r="E430" s="11">
        <f>IF(C430&gt;0,IFERROR(D430/C430,""),"")</f>
      </c>
      <c r="F430" s="5"/>
    </row>
    <row r="431" spans="1:6" x14ac:dyDescent="0.25">
      <c r="A431" s="7"/>
      <c r="B431" s="7"/>
      <c r="C431" s="7"/>
      <c r="D431" s="10">
        <f>IFERROR(SUMIFS(Composicao_Fichas!H:H,Composicao_Fichas!A:A,A431),0)</f>
      </c>
      <c r="E431" s="11">
        <f>IF(C431&gt;0,IFERROR(D431/C431,""),"")</f>
      </c>
      <c r="F431" s="5"/>
    </row>
    <row r="432" spans="1:6" x14ac:dyDescent="0.25">
      <c r="A432" s="7"/>
      <c r="B432" s="7"/>
      <c r="C432" s="7"/>
      <c r="D432" s="10">
        <f>IFERROR(SUMIFS(Composicao_Fichas!H:H,Composicao_Fichas!A:A,A432),0)</f>
      </c>
      <c r="E432" s="11">
        <f>IF(C432&gt;0,IFERROR(D432/C432,""),"")</f>
      </c>
      <c r="F432" s="5"/>
    </row>
    <row r="433" spans="1:6" x14ac:dyDescent="0.25">
      <c r="A433" s="7"/>
      <c r="B433" s="7"/>
      <c r="C433" s="7"/>
      <c r="D433" s="10">
        <f>IFERROR(SUMIFS(Composicao_Fichas!H:H,Composicao_Fichas!A:A,A433),0)</f>
      </c>
      <c r="E433" s="11">
        <f>IF(C433&gt;0,IFERROR(D433/C433,""),"")</f>
      </c>
      <c r="F433" s="5"/>
    </row>
    <row r="434" spans="1:6" x14ac:dyDescent="0.25">
      <c r="A434" s="7"/>
      <c r="B434" s="7"/>
      <c r="C434" s="7"/>
      <c r="D434" s="10">
        <f>IFERROR(SUMIFS(Composicao_Fichas!H:H,Composicao_Fichas!A:A,A434),0)</f>
      </c>
      <c r="E434" s="11">
        <f>IF(C434&gt;0,IFERROR(D434/C434,""),"")</f>
      </c>
      <c r="F434" s="5"/>
    </row>
    <row r="435" spans="1:6" x14ac:dyDescent="0.25">
      <c r="A435" s="7"/>
      <c r="B435" s="7"/>
      <c r="C435" s="7"/>
      <c r="D435" s="10">
        <f>IFERROR(SUMIFS(Composicao_Fichas!H:H,Composicao_Fichas!A:A,A435),0)</f>
      </c>
      <c r="E435" s="11">
        <f>IF(C435&gt;0,IFERROR(D435/C435,""),"")</f>
      </c>
      <c r="F435" s="5"/>
    </row>
    <row r="436" spans="1:6" x14ac:dyDescent="0.25">
      <c r="A436" s="7"/>
      <c r="B436" s="7"/>
      <c r="C436" s="7"/>
      <c r="D436" s="10">
        <f>IFERROR(SUMIFS(Composicao_Fichas!H:H,Composicao_Fichas!A:A,A436),0)</f>
      </c>
      <c r="E436" s="11">
        <f>IF(C436&gt;0,IFERROR(D436/C436,""),"")</f>
      </c>
      <c r="F436" s="5"/>
    </row>
    <row r="437" spans="1:6" x14ac:dyDescent="0.25">
      <c r="A437" s="7"/>
      <c r="B437" s="7"/>
      <c r="C437" s="7"/>
      <c r="D437" s="10">
        <f>IFERROR(SUMIFS(Composicao_Fichas!H:H,Composicao_Fichas!A:A,A437),0)</f>
      </c>
      <c r="E437" s="11">
        <f>IF(C437&gt;0,IFERROR(D437/C437,""),"")</f>
      </c>
      <c r="F437" s="5"/>
    </row>
    <row r="438" spans="1:6" x14ac:dyDescent="0.25">
      <c r="A438" s="7"/>
      <c r="B438" s="7"/>
      <c r="C438" s="7"/>
      <c r="D438" s="10">
        <f>IFERROR(SUMIFS(Composicao_Fichas!H:H,Composicao_Fichas!A:A,A438),0)</f>
      </c>
      <c r="E438" s="11">
        <f>IF(C438&gt;0,IFERROR(D438/C438,""),"")</f>
      </c>
      <c r="F438" s="5"/>
    </row>
    <row r="439" spans="1:6" x14ac:dyDescent="0.25">
      <c r="A439" s="7"/>
      <c r="B439" s="7"/>
      <c r="C439" s="7"/>
      <c r="D439" s="10">
        <f>IFERROR(SUMIFS(Composicao_Fichas!H:H,Composicao_Fichas!A:A,A439),0)</f>
      </c>
      <c r="E439" s="11">
        <f>IF(C439&gt;0,IFERROR(D439/C439,""),"")</f>
      </c>
      <c r="F439" s="5"/>
    </row>
    <row r="440" spans="1:6" x14ac:dyDescent="0.25">
      <c r="A440" s="7"/>
      <c r="B440" s="7"/>
      <c r="C440" s="7"/>
      <c r="D440" s="10">
        <f>IFERROR(SUMIFS(Composicao_Fichas!H:H,Composicao_Fichas!A:A,A440),0)</f>
      </c>
      <c r="E440" s="11">
        <f>IF(C440&gt;0,IFERROR(D440/C440,""),"")</f>
      </c>
      <c r="F440" s="5"/>
    </row>
    <row r="441" spans="1:6" x14ac:dyDescent="0.25">
      <c r="A441" s="7"/>
      <c r="B441" s="7"/>
      <c r="C441" s="7"/>
      <c r="D441" s="10">
        <f>IFERROR(SUMIFS(Composicao_Fichas!H:H,Composicao_Fichas!A:A,A441),0)</f>
      </c>
      <c r="E441" s="11">
        <f>IF(C441&gt;0,IFERROR(D441/C441,""),"")</f>
      </c>
      <c r="F441" s="5"/>
    </row>
    <row r="442" spans="1:6" x14ac:dyDescent="0.25">
      <c r="A442" s="7"/>
      <c r="B442" s="7"/>
      <c r="C442" s="7"/>
      <c r="D442" s="10">
        <f>IFERROR(SUMIFS(Composicao_Fichas!H:H,Composicao_Fichas!A:A,A442),0)</f>
      </c>
      <c r="E442" s="11">
        <f>IF(C442&gt;0,IFERROR(D442/C442,""),"")</f>
      </c>
      <c r="F442" s="5"/>
    </row>
    <row r="443" spans="1:6" x14ac:dyDescent="0.25">
      <c r="A443" s="7"/>
      <c r="B443" s="7"/>
      <c r="C443" s="7"/>
      <c r="D443" s="10">
        <f>IFERROR(SUMIFS(Composicao_Fichas!H:H,Composicao_Fichas!A:A,A443),0)</f>
      </c>
      <c r="E443" s="11">
        <f>IF(C443&gt;0,IFERROR(D443/C443,""),"")</f>
      </c>
      <c r="F443" s="5"/>
    </row>
    <row r="444" spans="1:6" x14ac:dyDescent="0.25">
      <c r="A444" s="7"/>
      <c r="B444" s="7"/>
      <c r="C444" s="7"/>
      <c r="D444" s="10">
        <f>IFERROR(SUMIFS(Composicao_Fichas!H:H,Composicao_Fichas!A:A,A444),0)</f>
      </c>
      <c r="E444" s="11">
        <f>IF(C444&gt;0,IFERROR(D444/C444,""),"")</f>
      </c>
      <c r="F444" s="5"/>
    </row>
    <row r="445" spans="1:6" x14ac:dyDescent="0.25">
      <c r="A445" s="7"/>
      <c r="B445" s="7"/>
      <c r="C445" s="7"/>
      <c r="D445" s="10">
        <f>IFERROR(SUMIFS(Composicao_Fichas!H:H,Composicao_Fichas!A:A,A445),0)</f>
      </c>
      <c r="E445" s="11">
        <f>IF(C445&gt;0,IFERROR(D445/C445,""),"")</f>
      </c>
      <c r="F445" s="5"/>
    </row>
    <row r="446" spans="1:6" x14ac:dyDescent="0.25">
      <c r="A446" s="7"/>
      <c r="B446" s="7"/>
      <c r="C446" s="7"/>
      <c r="D446" s="10">
        <f>IFERROR(SUMIFS(Composicao_Fichas!H:H,Composicao_Fichas!A:A,A446),0)</f>
      </c>
      <c r="E446" s="11">
        <f>IF(C446&gt;0,IFERROR(D446/C446,""),"")</f>
      </c>
      <c r="F446" s="5"/>
    </row>
    <row r="447" spans="1:6" x14ac:dyDescent="0.25">
      <c r="A447" s="7"/>
      <c r="B447" s="7"/>
      <c r="C447" s="7"/>
      <c r="D447" s="10">
        <f>IFERROR(SUMIFS(Composicao_Fichas!H:H,Composicao_Fichas!A:A,A447),0)</f>
      </c>
      <c r="E447" s="11">
        <f>IF(C447&gt;0,IFERROR(D447/C447,""),"")</f>
      </c>
      <c r="F447" s="5"/>
    </row>
    <row r="448" spans="1:6" x14ac:dyDescent="0.25">
      <c r="A448" s="7"/>
      <c r="B448" s="7"/>
      <c r="C448" s="7"/>
      <c r="D448" s="10">
        <f>IFERROR(SUMIFS(Composicao_Fichas!H:H,Composicao_Fichas!A:A,A448),0)</f>
      </c>
      <c r="E448" s="11">
        <f>IF(C448&gt;0,IFERROR(D448/C448,""),"")</f>
      </c>
      <c r="F448" s="5"/>
    </row>
    <row r="449" spans="1:6" x14ac:dyDescent="0.25">
      <c r="A449" s="7"/>
      <c r="B449" s="7"/>
      <c r="C449" s="7"/>
      <c r="D449" s="10">
        <f>IFERROR(SUMIFS(Composicao_Fichas!H:H,Composicao_Fichas!A:A,A449),0)</f>
      </c>
      <c r="E449" s="11">
        <f>IF(C449&gt;0,IFERROR(D449/C449,""),"")</f>
      </c>
      <c r="F449" s="5"/>
    </row>
    <row r="450" spans="1:6" x14ac:dyDescent="0.25">
      <c r="A450" s="7"/>
      <c r="B450" s="7"/>
      <c r="C450" s="7"/>
      <c r="D450" s="10">
        <f>IFERROR(SUMIFS(Composicao_Fichas!H:H,Composicao_Fichas!A:A,A450),0)</f>
      </c>
      <c r="E450" s="11">
        <f>IF(C450&gt;0,IFERROR(D450/C450,""),"")</f>
      </c>
      <c r="F450" s="5"/>
    </row>
    <row r="451" spans="1:6" x14ac:dyDescent="0.25">
      <c r="A451" s="7"/>
      <c r="B451" s="7"/>
      <c r="C451" s="7"/>
      <c r="D451" s="10">
        <f>IFERROR(SUMIFS(Composicao_Fichas!H:H,Composicao_Fichas!A:A,A451),0)</f>
      </c>
      <c r="E451" s="11">
        <f>IF(C451&gt;0,IFERROR(D451/C451,""),"")</f>
      </c>
      <c r="F451" s="5"/>
    </row>
    <row r="452" spans="1:6" x14ac:dyDescent="0.25">
      <c r="A452" s="7"/>
      <c r="B452" s="7"/>
      <c r="C452" s="7"/>
      <c r="D452" s="10">
        <f>IFERROR(SUMIFS(Composicao_Fichas!H:H,Composicao_Fichas!A:A,A452),0)</f>
      </c>
      <c r="E452" s="11">
        <f>IF(C452&gt;0,IFERROR(D452/C452,""),"")</f>
      </c>
      <c r="F452" s="5"/>
    </row>
    <row r="453" spans="1:6" x14ac:dyDescent="0.25">
      <c r="A453" s="7"/>
      <c r="B453" s="7"/>
      <c r="C453" s="7"/>
      <c r="D453" s="10">
        <f>IFERROR(SUMIFS(Composicao_Fichas!H:H,Composicao_Fichas!A:A,A453),0)</f>
      </c>
      <c r="E453" s="11">
        <f>IF(C453&gt;0,IFERROR(D453/C453,""),"")</f>
      </c>
      <c r="F453" s="5"/>
    </row>
    <row r="454" spans="1:6" x14ac:dyDescent="0.25">
      <c r="A454" s="7"/>
      <c r="B454" s="7"/>
      <c r="C454" s="7"/>
      <c r="D454" s="10">
        <f>IFERROR(SUMIFS(Composicao_Fichas!H:H,Composicao_Fichas!A:A,A454),0)</f>
      </c>
      <c r="E454" s="11">
        <f>IF(C454&gt;0,IFERROR(D454/C454,""),"")</f>
      </c>
      <c r="F454" s="5"/>
    </row>
    <row r="455" spans="1:6" x14ac:dyDescent="0.25">
      <c r="A455" s="7"/>
      <c r="B455" s="7"/>
      <c r="C455" s="7"/>
      <c r="D455" s="10">
        <f>IFERROR(SUMIFS(Composicao_Fichas!H:H,Composicao_Fichas!A:A,A455),0)</f>
      </c>
      <c r="E455" s="11">
        <f>IF(C455&gt;0,IFERROR(D455/C455,""),"")</f>
      </c>
      <c r="F455" s="5"/>
    </row>
    <row r="456" spans="1:6" x14ac:dyDescent="0.25">
      <c r="A456" s="7"/>
      <c r="B456" s="7"/>
      <c r="C456" s="7"/>
      <c r="D456" s="10">
        <f>IFERROR(SUMIFS(Composicao_Fichas!H:H,Composicao_Fichas!A:A,A456),0)</f>
      </c>
      <c r="E456" s="11">
        <f>IF(C456&gt;0,IFERROR(D456/C456,""),"")</f>
      </c>
      <c r="F456" s="5"/>
    </row>
    <row r="457" spans="1:6" x14ac:dyDescent="0.25">
      <c r="A457" s="7"/>
      <c r="B457" s="7"/>
      <c r="C457" s="7"/>
      <c r="D457" s="10">
        <f>IFERROR(SUMIFS(Composicao_Fichas!H:H,Composicao_Fichas!A:A,A457),0)</f>
      </c>
      <c r="E457" s="11">
        <f>IF(C457&gt;0,IFERROR(D457/C457,""),"")</f>
      </c>
      <c r="F457" s="5"/>
    </row>
    <row r="458" spans="1:6" x14ac:dyDescent="0.25">
      <c r="A458" s="7"/>
      <c r="B458" s="7"/>
      <c r="C458" s="7"/>
      <c r="D458" s="10">
        <f>IFERROR(SUMIFS(Composicao_Fichas!H:H,Composicao_Fichas!A:A,A458),0)</f>
      </c>
      <c r="E458" s="11">
        <f>IF(C458&gt;0,IFERROR(D458/C458,""),"")</f>
      </c>
      <c r="F458" s="5"/>
    </row>
    <row r="459" spans="1:6" x14ac:dyDescent="0.25">
      <c r="A459" s="7"/>
      <c r="B459" s="7"/>
      <c r="C459" s="7"/>
      <c r="D459" s="10">
        <f>IFERROR(SUMIFS(Composicao_Fichas!H:H,Composicao_Fichas!A:A,A459),0)</f>
      </c>
      <c r="E459" s="11">
        <f>IF(C459&gt;0,IFERROR(D459/C459,""),"")</f>
      </c>
      <c r="F459" s="5"/>
    </row>
    <row r="460" spans="1:6" x14ac:dyDescent="0.25">
      <c r="A460" s="7"/>
      <c r="B460" s="7"/>
      <c r="C460" s="7"/>
      <c r="D460" s="10">
        <f>IFERROR(SUMIFS(Composicao_Fichas!H:H,Composicao_Fichas!A:A,A460),0)</f>
      </c>
      <c r="E460" s="11">
        <f>IF(C460&gt;0,IFERROR(D460/C460,""),"")</f>
      </c>
      <c r="F460" s="5"/>
    </row>
    <row r="461" spans="1:6" x14ac:dyDescent="0.25">
      <c r="A461" s="7"/>
      <c r="B461" s="7"/>
      <c r="C461" s="7"/>
      <c r="D461" s="10">
        <f>IFERROR(SUMIFS(Composicao_Fichas!H:H,Composicao_Fichas!A:A,A461),0)</f>
      </c>
      <c r="E461" s="11">
        <f>IF(C461&gt;0,IFERROR(D461/C461,""),"")</f>
      </c>
      <c r="F461" s="5"/>
    </row>
    <row r="462" spans="1:6" x14ac:dyDescent="0.25">
      <c r="A462" s="7"/>
      <c r="B462" s="7"/>
      <c r="C462" s="7"/>
      <c r="D462" s="10">
        <f>IFERROR(SUMIFS(Composicao_Fichas!H:H,Composicao_Fichas!A:A,A462),0)</f>
      </c>
      <c r="E462" s="11">
        <f>IF(C462&gt;0,IFERROR(D462/C462,""),"")</f>
      </c>
      <c r="F462" s="5"/>
    </row>
    <row r="463" spans="1:6" x14ac:dyDescent="0.25">
      <c r="A463" s="7"/>
      <c r="B463" s="7"/>
      <c r="C463" s="7"/>
      <c r="D463" s="10">
        <f>IFERROR(SUMIFS(Composicao_Fichas!H:H,Composicao_Fichas!A:A,A463),0)</f>
      </c>
      <c r="E463" s="11">
        <f>IF(C463&gt;0,IFERROR(D463/C463,""),"")</f>
      </c>
      <c r="F463" s="5"/>
    </row>
    <row r="464" spans="1:6" x14ac:dyDescent="0.25">
      <c r="A464" s="7"/>
      <c r="B464" s="7"/>
      <c r="C464" s="7"/>
      <c r="D464" s="10">
        <f>IFERROR(SUMIFS(Composicao_Fichas!H:H,Composicao_Fichas!A:A,A464),0)</f>
      </c>
      <c r="E464" s="11">
        <f>IF(C464&gt;0,IFERROR(D464/C464,""),"")</f>
      </c>
      <c r="F464" s="5"/>
    </row>
    <row r="465" spans="1:6" x14ac:dyDescent="0.25">
      <c r="A465" s="7"/>
      <c r="B465" s="7"/>
      <c r="C465" s="7"/>
      <c r="D465" s="10">
        <f>IFERROR(SUMIFS(Composicao_Fichas!H:H,Composicao_Fichas!A:A,A465),0)</f>
      </c>
      <c r="E465" s="11">
        <f>IF(C465&gt;0,IFERROR(D465/C465,""),"")</f>
      </c>
      <c r="F465" s="5"/>
    </row>
    <row r="466" spans="1:6" x14ac:dyDescent="0.25">
      <c r="A466" s="7"/>
      <c r="B466" s="7"/>
      <c r="C466" s="7"/>
      <c r="D466" s="10">
        <f>IFERROR(SUMIFS(Composicao_Fichas!H:H,Composicao_Fichas!A:A,A466),0)</f>
      </c>
      <c r="E466" s="11">
        <f>IF(C466&gt;0,IFERROR(D466/C466,""),"")</f>
      </c>
      <c r="F466" s="5"/>
    </row>
    <row r="467" spans="1:6" x14ac:dyDescent="0.25">
      <c r="A467" s="7"/>
      <c r="B467" s="7"/>
      <c r="C467" s="7"/>
      <c r="D467" s="10">
        <f>IFERROR(SUMIFS(Composicao_Fichas!H:H,Composicao_Fichas!A:A,A467),0)</f>
      </c>
      <c r="E467" s="11">
        <f>IF(C467&gt;0,IFERROR(D467/C467,""),"")</f>
      </c>
      <c r="F467" s="5"/>
    </row>
    <row r="468" spans="1:6" x14ac:dyDescent="0.25">
      <c r="A468" s="7"/>
      <c r="B468" s="7"/>
      <c r="C468" s="7"/>
      <c r="D468" s="10">
        <f>IFERROR(SUMIFS(Composicao_Fichas!H:H,Composicao_Fichas!A:A,A468),0)</f>
      </c>
      <c r="E468" s="11">
        <f>IF(C468&gt;0,IFERROR(D468/C468,""),"")</f>
      </c>
      <c r="F468" s="5"/>
    </row>
    <row r="469" spans="1:6" x14ac:dyDescent="0.25">
      <c r="A469" s="7"/>
      <c r="B469" s="7"/>
      <c r="C469" s="7"/>
      <c r="D469" s="10">
        <f>IFERROR(SUMIFS(Composicao_Fichas!H:H,Composicao_Fichas!A:A,A469),0)</f>
      </c>
      <c r="E469" s="11">
        <f>IF(C469&gt;0,IFERROR(D469/C469,""),"")</f>
      </c>
      <c r="F469" s="5"/>
    </row>
    <row r="470" spans="1:6" x14ac:dyDescent="0.25">
      <c r="A470" s="7"/>
      <c r="B470" s="7"/>
      <c r="C470" s="7"/>
      <c r="D470" s="10">
        <f>IFERROR(SUMIFS(Composicao_Fichas!H:H,Composicao_Fichas!A:A,A470),0)</f>
      </c>
      <c r="E470" s="11">
        <f>IF(C470&gt;0,IFERROR(D470/C470,""),"")</f>
      </c>
      <c r="F470" s="5"/>
    </row>
    <row r="471" spans="1:6" x14ac:dyDescent="0.25">
      <c r="A471" s="7"/>
      <c r="B471" s="7"/>
      <c r="C471" s="7"/>
      <c r="D471" s="10">
        <f>IFERROR(SUMIFS(Composicao_Fichas!H:H,Composicao_Fichas!A:A,A471),0)</f>
      </c>
      <c r="E471" s="11">
        <f>IF(C471&gt;0,IFERROR(D471/C471,""),"")</f>
      </c>
      <c r="F471" s="5"/>
    </row>
    <row r="472" spans="1:6" x14ac:dyDescent="0.25">
      <c r="A472" s="7"/>
      <c r="B472" s="7"/>
      <c r="C472" s="7"/>
      <c r="D472" s="10">
        <f>IFERROR(SUMIFS(Composicao_Fichas!H:H,Composicao_Fichas!A:A,A472),0)</f>
      </c>
      <c r="E472" s="11">
        <f>IF(C472&gt;0,IFERROR(D472/C472,""),"")</f>
      </c>
      <c r="F472" s="5"/>
    </row>
    <row r="473" spans="1:6" x14ac:dyDescent="0.25">
      <c r="A473" s="7"/>
      <c r="B473" s="7"/>
      <c r="C473" s="7"/>
      <c r="D473" s="10">
        <f>IFERROR(SUMIFS(Composicao_Fichas!H:H,Composicao_Fichas!A:A,A473),0)</f>
      </c>
      <c r="E473" s="11">
        <f>IF(C473&gt;0,IFERROR(D473/C473,""),"")</f>
      </c>
      <c r="F473" s="5"/>
    </row>
    <row r="474" spans="1:6" x14ac:dyDescent="0.25">
      <c r="A474" s="7"/>
      <c r="B474" s="7"/>
      <c r="C474" s="7"/>
      <c r="D474" s="10">
        <f>IFERROR(SUMIFS(Composicao_Fichas!H:H,Composicao_Fichas!A:A,A474),0)</f>
      </c>
      <c r="E474" s="11">
        <f>IF(C474&gt;0,IFERROR(D474/C474,""),"")</f>
      </c>
      <c r="F474" s="5"/>
    </row>
    <row r="475" spans="1:6" x14ac:dyDescent="0.25">
      <c r="A475" s="7"/>
      <c r="B475" s="7"/>
      <c r="C475" s="7"/>
      <c r="D475" s="10">
        <f>IFERROR(SUMIFS(Composicao_Fichas!H:H,Composicao_Fichas!A:A,A475),0)</f>
      </c>
      <c r="E475" s="11">
        <f>IF(C475&gt;0,IFERROR(D475/C475,""),"")</f>
      </c>
      <c r="F475" s="5"/>
    </row>
    <row r="476" spans="1:6" x14ac:dyDescent="0.25">
      <c r="A476" s="7"/>
      <c r="B476" s="7"/>
      <c r="C476" s="7"/>
      <c r="D476" s="10">
        <f>IFERROR(SUMIFS(Composicao_Fichas!H:H,Composicao_Fichas!A:A,A476),0)</f>
      </c>
      <c r="E476" s="11">
        <f>IF(C476&gt;0,IFERROR(D476/C476,""),"")</f>
      </c>
      <c r="F476" s="5"/>
    </row>
    <row r="477" spans="1:6" x14ac:dyDescent="0.25">
      <c r="A477" s="7"/>
      <c r="B477" s="7"/>
      <c r="C477" s="7"/>
      <c r="D477" s="10">
        <f>IFERROR(SUMIFS(Composicao_Fichas!H:H,Composicao_Fichas!A:A,A477),0)</f>
      </c>
      <c r="E477" s="11">
        <f>IF(C477&gt;0,IFERROR(D477/C477,""),"")</f>
      </c>
      <c r="F477" s="5"/>
    </row>
    <row r="478" spans="1:6" x14ac:dyDescent="0.25">
      <c r="A478" s="7"/>
      <c r="B478" s="7"/>
      <c r="C478" s="7"/>
      <c r="D478" s="10">
        <f>IFERROR(SUMIFS(Composicao_Fichas!H:H,Composicao_Fichas!A:A,A478),0)</f>
      </c>
      <c r="E478" s="11">
        <f>IF(C478&gt;0,IFERROR(D478/C478,""),"")</f>
      </c>
      <c r="F478" s="5"/>
    </row>
    <row r="479" spans="1:6" x14ac:dyDescent="0.25">
      <c r="A479" s="7"/>
      <c r="B479" s="7"/>
      <c r="C479" s="7"/>
      <c r="D479" s="10">
        <f>IFERROR(SUMIFS(Composicao_Fichas!H:H,Composicao_Fichas!A:A,A479),0)</f>
      </c>
      <c r="E479" s="11">
        <f>IF(C479&gt;0,IFERROR(D479/C479,""),"")</f>
      </c>
      <c r="F479" s="5"/>
    </row>
    <row r="480" spans="1:6" x14ac:dyDescent="0.25">
      <c r="A480" s="7"/>
      <c r="B480" s="7"/>
      <c r="C480" s="7"/>
      <c r="D480" s="10">
        <f>IFERROR(SUMIFS(Composicao_Fichas!H:H,Composicao_Fichas!A:A,A480),0)</f>
      </c>
      <c r="E480" s="11">
        <f>IF(C480&gt;0,IFERROR(D480/C480,""),"")</f>
      </c>
      <c r="F480" s="5"/>
    </row>
    <row r="481" spans="1:6" x14ac:dyDescent="0.25">
      <c r="A481" s="7"/>
      <c r="B481" s="7"/>
      <c r="C481" s="7"/>
      <c r="D481" s="10">
        <f>IFERROR(SUMIFS(Composicao_Fichas!H:H,Composicao_Fichas!A:A,A481),0)</f>
      </c>
      <c r="E481" s="11">
        <f>IF(C481&gt;0,IFERROR(D481/C481,""),"")</f>
      </c>
      <c r="F481" s="5"/>
    </row>
    <row r="482" spans="1:6" x14ac:dyDescent="0.25">
      <c r="A482" s="7"/>
      <c r="B482" s="7"/>
      <c r="C482" s="7"/>
      <c r="D482" s="10">
        <f>IFERROR(SUMIFS(Composicao_Fichas!H:H,Composicao_Fichas!A:A,A482),0)</f>
      </c>
      <c r="E482" s="11">
        <f>IF(C482&gt;0,IFERROR(D482/C482,""),"")</f>
      </c>
      <c r="F482" s="5"/>
    </row>
    <row r="483" spans="1:6" x14ac:dyDescent="0.25">
      <c r="A483" s="7"/>
      <c r="B483" s="7"/>
      <c r="C483" s="7"/>
      <c r="D483" s="10">
        <f>IFERROR(SUMIFS(Composicao_Fichas!H:H,Composicao_Fichas!A:A,A483),0)</f>
      </c>
      <c r="E483" s="11">
        <f>IF(C483&gt;0,IFERROR(D483/C483,""),"")</f>
      </c>
      <c r="F483" s="5"/>
    </row>
    <row r="484" spans="1:6" x14ac:dyDescent="0.25">
      <c r="A484" s="7"/>
      <c r="B484" s="7"/>
      <c r="C484" s="7"/>
      <c r="D484" s="10">
        <f>IFERROR(SUMIFS(Composicao_Fichas!H:H,Composicao_Fichas!A:A,A484),0)</f>
      </c>
      <c r="E484" s="11">
        <f>IF(C484&gt;0,IFERROR(D484/C484,""),"")</f>
      </c>
      <c r="F484" s="5"/>
    </row>
    <row r="485" spans="1:6" x14ac:dyDescent="0.25">
      <c r="A485" s="7"/>
      <c r="B485" s="7"/>
      <c r="C485" s="7"/>
      <c r="D485" s="10">
        <f>IFERROR(SUMIFS(Composicao_Fichas!H:H,Composicao_Fichas!A:A,A485),0)</f>
      </c>
      <c r="E485" s="11">
        <f>IF(C485&gt;0,IFERROR(D485/C485,""),"")</f>
      </c>
      <c r="F485" s="5"/>
    </row>
    <row r="486" spans="1:6" x14ac:dyDescent="0.25">
      <c r="A486" s="7"/>
      <c r="B486" s="7"/>
      <c r="C486" s="7"/>
      <c r="D486" s="10">
        <f>IFERROR(SUMIFS(Composicao_Fichas!H:H,Composicao_Fichas!A:A,A486),0)</f>
      </c>
      <c r="E486" s="11">
        <f>IF(C486&gt;0,IFERROR(D486/C486,""),"")</f>
      </c>
      <c r="F486" s="5"/>
    </row>
    <row r="487" spans="1:6" x14ac:dyDescent="0.25">
      <c r="A487" s="7"/>
      <c r="B487" s="7"/>
      <c r="C487" s="7"/>
      <c r="D487" s="10">
        <f>IFERROR(SUMIFS(Composicao_Fichas!H:H,Composicao_Fichas!A:A,A487),0)</f>
      </c>
      <c r="E487" s="11">
        <f>IF(C487&gt;0,IFERROR(D487/C487,""),"")</f>
      </c>
      <c r="F487" s="5"/>
    </row>
    <row r="488" spans="1:6" x14ac:dyDescent="0.25">
      <c r="A488" s="7"/>
      <c r="B488" s="7"/>
      <c r="C488" s="7"/>
      <c r="D488" s="10">
        <f>IFERROR(SUMIFS(Composicao_Fichas!H:H,Composicao_Fichas!A:A,A488),0)</f>
      </c>
      <c r="E488" s="11">
        <f>IF(C488&gt;0,IFERROR(D488/C488,""),"")</f>
      </c>
      <c r="F488" s="5"/>
    </row>
    <row r="489" spans="1:6" x14ac:dyDescent="0.25">
      <c r="A489" s="7"/>
      <c r="B489" s="7"/>
      <c r="C489" s="7"/>
      <c r="D489" s="10">
        <f>IFERROR(SUMIFS(Composicao_Fichas!H:H,Composicao_Fichas!A:A,A489),0)</f>
      </c>
      <c r="E489" s="11">
        <f>IF(C489&gt;0,IFERROR(D489/C489,""),"")</f>
      </c>
      <c r="F489" s="5"/>
    </row>
    <row r="490" spans="1:6" x14ac:dyDescent="0.25">
      <c r="A490" s="7"/>
      <c r="B490" s="7"/>
      <c r="C490" s="7"/>
      <c r="D490" s="10">
        <f>IFERROR(SUMIFS(Composicao_Fichas!H:H,Composicao_Fichas!A:A,A490),0)</f>
      </c>
      <c r="E490" s="11">
        <f>IF(C490&gt;0,IFERROR(D490/C490,""),"")</f>
      </c>
      <c r="F490" s="5"/>
    </row>
    <row r="491" spans="1:6" x14ac:dyDescent="0.25">
      <c r="A491" s="7"/>
      <c r="B491" s="7"/>
      <c r="C491" s="7"/>
      <c r="D491" s="10">
        <f>IFERROR(SUMIFS(Composicao_Fichas!H:H,Composicao_Fichas!A:A,A491),0)</f>
      </c>
      <c r="E491" s="11">
        <f>IF(C491&gt;0,IFERROR(D491/C491,""),"")</f>
      </c>
      <c r="F491" s="5"/>
    </row>
    <row r="492" spans="1:6" x14ac:dyDescent="0.25">
      <c r="A492" s="7"/>
      <c r="B492" s="7"/>
      <c r="C492" s="7"/>
      <c r="D492" s="10">
        <f>IFERROR(SUMIFS(Composicao_Fichas!H:H,Composicao_Fichas!A:A,A492),0)</f>
      </c>
      <c r="E492" s="11">
        <f>IF(C492&gt;0,IFERROR(D492/C492,""),"")</f>
      </c>
      <c r="F492" s="5"/>
    </row>
    <row r="493" spans="1:6" x14ac:dyDescent="0.25">
      <c r="A493" s="7"/>
      <c r="B493" s="7"/>
      <c r="C493" s="7"/>
      <c r="D493" s="10">
        <f>IFERROR(SUMIFS(Composicao_Fichas!H:H,Composicao_Fichas!A:A,A493),0)</f>
      </c>
      <c r="E493" s="11">
        <f>IF(C493&gt;0,IFERROR(D493/C493,""),"")</f>
      </c>
      <c r="F493" s="5"/>
    </row>
    <row r="494" spans="1:6" x14ac:dyDescent="0.25">
      <c r="A494" s="7"/>
      <c r="B494" s="7"/>
      <c r="C494" s="7"/>
      <c r="D494" s="10">
        <f>IFERROR(SUMIFS(Composicao_Fichas!H:H,Composicao_Fichas!A:A,A494),0)</f>
      </c>
      <c r="E494" s="11">
        <f>IF(C494&gt;0,IFERROR(D494/C494,""),"")</f>
      </c>
      <c r="F494" s="5"/>
    </row>
    <row r="495" spans="1:6" x14ac:dyDescent="0.25">
      <c r="A495" s="7"/>
      <c r="B495" s="7"/>
      <c r="C495" s="7"/>
      <c r="D495" s="10">
        <f>IFERROR(SUMIFS(Composicao_Fichas!H:H,Composicao_Fichas!A:A,A495),0)</f>
      </c>
      <c r="E495" s="11">
        <f>IF(C495&gt;0,IFERROR(D495/C495,""),"")</f>
      </c>
      <c r="F495" s="5"/>
    </row>
    <row r="496" spans="1:6" x14ac:dyDescent="0.25">
      <c r="A496" s="7"/>
      <c r="B496" s="7"/>
      <c r="C496" s="7"/>
      <c r="D496" s="10">
        <f>IFERROR(SUMIFS(Composicao_Fichas!H:H,Composicao_Fichas!A:A,A496),0)</f>
      </c>
      <c r="E496" s="11">
        <f>IF(C496&gt;0,IFERROR(D496/C496,""),"")</f>
      </c>
      <c r="F496" s="5"/>
    </row>
    <row r="497" spans="1:6" x14ac:dyDescent="0.25">
      <c r="A497" s="7"/>
      <c r="B497" s="7"/>
      <c r="C497" s="7"/>
      <c r="D497" s="10">
        <f>IFERROR(SUMIFS(Composicao_Fichas!H:H,Composicao_Fichas!A:A,A497),0)</f>
      </c>
      <c r="E497" s="11">
        <f>IF(C497&gt;0,IFERROR(D497/C497,""),"")</f>
      </c>
      <c r="F497" s="5"/>
    </row>
    <row r="498" spans="1:6" x14ac:dyDescent="0.25">
      <c r="A498" s="7"/>
      <c r="B498" s="7"/>
      <c r="C498" s="7"/>
      <c r="D498" s="10">
        <f>IFERROR(SUMIFS(Composicao_Fichas!H:H,Composicao_Fichas!A:A,A498),0)</f>
      </c>
      <c r="E498" s="11">
        <f>IF(C498&gt;0,IFERROR(D498/C498,""),"")</f>
      </c>
      <c r="F498" s="5"/>
    </row>
    <row r="499" spans="1:6" x14ac:dyDescent="0.25">
      <c r="A499" s="7"/>
      <c r="B499" s="7"/>
      <c r="C499" s="7"/>
      <c r="D499" s="10">
        <f>IFERROR(SUMIFS(Composicao_Fichas!H:H,Composicao_Fichas!A:A,A499),0)</f>
      </c>
      <c r="E499" s="11">
        <f>IF(C499&gt;0,IFERROR(D499/C499,""),"")</f>
      </c>
      <c r="F499" s="5"/>
    </row>
    <row r="500" spans="1:6" x14ac:dyDescent="0.25">
      <c r="A500" s="7"/>
      <c r="B500" s="7"/>
      <c r="C500" s="7"/>
      <c r="D500" s="10">
        <f>IFERROR(SUMIFS(Composicao_Fichas!H:H,Composicao_Fichas!A:A,A500),0)</f>
      </c>
      <c r="E500" s="11">
        <f>IF(C500&gt;0,IFERROR(D500/C500,""),"")</f>
      </c>
      <c r="F500" s="5"/>
    </row>
  </sheetData>
  <conditionalFormatting sqref="E2:E500">
    <cfRule type="cellIs" dxfId="1" priority="1" operator="lessThan">
      <formula>0.25</formula>
    </cfRule>
    <cfRule type="cellIs" dxfId="2" priority="2" operator="between">
      <formula>0.25</formula>
      <formula>0.35</formula>
    </cfRule>
    <cfRule type="cellIs" dxfId="3" priority="3" operator="greaterThan">
      <formula>0.35</formula>
    </cfRule>
  </conditionalFormatting>
  <dataValidations count="2">
    <dataValidation type="list" allowBlank="1" sqref="B10:B500">
      <formula1>=_Categorias!$B$2:$B$500</formula1>
    </dataValidation>
    <dataValidation type="list" allowBlank="1" sqref="B2:B500">
      <formula1>=_Categorias!$B$2:$B$500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98"/>
  <sheetFormatPr defaultRowHeight="15" outlineLevelRow="0" outlineLevelCol="0" x14ac:dyDescent="55"/>
  <cols>
    <col min="1" max="1" width="32" customWidth="1"/>
  </cols>
  <sheetData>
    <row r="1" spans="1:1" x14ac:dyDescent="0.25">
      <c r="A1" t="s">
        <v>174</v>
      </c>
    </row>
    <row r="2" spans="1:1" x14ac:dyDescent="0.25">
      <c r="A2">
        <f>IFERROR(Insumos!A2,"")</f>
      </c>
    </row>
    <row r="3" spans="1:1" x14ac:dyDescent="0.25">
      <c r="A3">
        <f>IFERROR(Insumos!A3,"")</f>
      </c>
    </row>
    <row r="4" spans="1:1" x14ac:dyDescent="0.25">
      <c r="A4">
        <f>IFERROR(Insumos!A4,"")</f>
      </c>
    </row>
    <row r="5" spans="1:1" x14ac:dyDescent="0.25">
      <c r="A5">
        <f>IFERROR(Insumos!A5,"")</f>
      </c>
    </row>
    <row r="6" spans="1:1" x14ac:dyDescent="0.25">
      <c r="A6">
        <f>IFERROR(Insumos!A6,"")</f>
      </c>
    </row>
    <row r="7" spans="1:1" x14ac:dyDescent="0.25">
      <c r="A7">
        <f>IFERROR(Insumos!A7,"")</f>
      </c>
    </row>
    <row r="8" spans="1:1" x14ac:dyDescent="0.25">
      <c r="A8">
        <f>IFERROR(Insumos!A8,"")</f>
      </c>
    </row>
    <row r="9" spans="1:1" x14ac:dyDescent="0.25">
      <c r="A9">
        <f>IFERROR(Insumos!A9,"")</f>
      </c>
    </row>
    <row r="10" spans="1:1" x14ac:dyDescent="0.25">
      <c r="A10">
        <f>IFERROR(Insumos!A10,"")</f>
      </c>
    </row>
    <row r="11" spans="1:1" x14ac:dyDescent="0.25">
      <c r="A11">
        <f>IFERROR(Insumos!A11,"")</f>
      </c>
    </row>
    <row r="12" spans="1:1" x14ac:dyDescent="0.25">
      <c r="A12">
        <f>IFERROR(Insumos!A12,"")</f>
      </c>
    </row>
    <row r="13" spans="1:1" x14ac:dyDescent="0.25">
      <c r="A13">
        <f>IFERROR(Insumos!A13,"")</f>
      </c>
    </row>
    <row r="14" spans="1:1" x14ac:dyDescent="0.25">
      <c r="A14">
        <f>IFERROR(Insumos!A14,"")</f>
      </c>
    </row>
    <row r="15" spans="1:1" x14ac:dyDescent="0.25">
      <c r="A15">
        <f>IFERROR(Insumos!A15,"")</f>
      </c>
    </row>
    <row r="16" spans="1:1" x14ac:dyDescent="0.25">
      <c r="A16">
        <f>IFERROR(Insumos!A16,"")</f>
      </c>
    </row>
    <row r="17" spans="1:1" x14ac:dyDescent="0.25">
      <c r="A17">
        <f>IFERROR(Insumos!A17,"")</f>
      </c>
    </row>
    <row r="18" spans="1:1" x14ac:dyDescent="0.25">
      <c r="A18">
        <f>IFERROR(Insumos!A18,"")</f>
      </c>
    </row>
    <row r="19" spans="1:1" x14ac:dyDescent="0.25">
      <c r="A19">
        <f>IFERROR(Insumos!A19,"")</f>
      </c>
    </row>
    <row r="20" spans="1:1" x14ac:dyDescent="0.25">
      <c r="A20">
        <f>IFERROR(Insumos!A20,"")</f>
      </c>
    </row>
    <row r="21" spans="1:1" x14ac:dyDescent="0.25">
      <c r="A21">
        <f>IFERROR(Insumos!A21,"")</f>
      </c>
    </row>
    <row r="22" spans="1:1" x14ac:dyDescent="0.25">
      <c r="A22">
        <f>IFERROR(Insumos!A22,"")</f>
      </c>
    </row>
    <row r="23" spans="1:1" x14ac:dyDescent="0.25">
      <c r="A23">
        <f>IFERROR(Insumos!A23,"")</f>
      </c>
    </row>
    <row r="24" spans="1:1" x14ac:dyDescent="0.25">
      <c r="A24">
        <f>IFERROR(Insumos!A24,"")</f>
      </c>
    </row>
    <row r="25" spans="1:1" x14ac:dyDescent="0.25">
      <c r="A25">
        <f>IFERROR(Insumos!A25,"")</f>
      </c>
    </row>
    <row r="26" spans="1:1" x14ac:dyDescent="0.25">
      <c r="A26">
        <f>IFERROR(Insumos!A26,"")</f>
      </c>
    </row>
    <row r="27" spans="1:1" x14ac:dyDescent="0.25">
      <c r="A27">
        <f>IFERROR(Insumos!A27,"")</f>
      </c>
    </row>
    <row r="28" spans="1:1" x14ac:dyDescent="0.25">
      <c r="A28">
        <f>IFERROR(Insumos!A28,"")</f>
      </c>
    </row>
    <row r="29" spans="1:1" x14ac:dyDescent="0.25">
      <c r="A29">
        <f>IFERROR(Insumos!A29,"")</f>
      </c>
    </row>
    <row r="30" spans="1:1" x14ac:dyDescent="0.25">
      <c r="A30">
        <f>IFERROR(Insumos!A30,"")</f>
      </c>
    </row>
    <row r="31" spans="1:1" x14ac:dyDescent="0.25">
      <c r="A31">
        <f>IFERROR(Insumos!A31,"")</f>
      </c>
    </row>
    <row r="32" spans="1:1" x14ac:dyDescent="0.25">
      <c r="A32">
        <f>IFERROR(Insumos!A32,"")</f>
      </c>
    </row>
    <row r="33" spans="1:1" x14ac:dyDescent="0.25">
      <c r="A33">
        <f>IFERROR(Insumos!A33,"")</f>
      </c>
    </row>
    <row r="34" spans="1:1" x14ac:dyDescent="0.25">
      <c r="A34">
        <f>IFERROR(Insumos!A34,"")</f>
      </c>
    </row>
    <row r="35" spans="1:1" x14ac:dyDescent="0.25">
      <c r="A35">
        <f>IFERROR(Insumos!A35,"")</f>
      </c>
    </row>
    <row r="36" spans="1:1" x14ac:dyDescent="0.25">
      <c r="A36">
        <f>IFERROR(Insumos!A36,"")</f>
      </c>
    </row>
    <row r="37" spans="1:1" x14ac:dyDescent="0.25">
      <c r="A37">
        <f>IFERROR(Insumos!A37,"")</f>
      </c>
    </row>
    <row r="38" spans="1:1" x14ac:dyDescent="0.25">
      <c r="A38">
        <f>IFERROR(Insumos!A38,"")</f>
      </c>
    </row>
    <row r="39" spans="1:1" x14ac:dyDescent="0.25">
      <c r="A39">
        <f>IFERROR(Insumos!A39,"")</f>
      </c>
    </row>
    <row r="40" spans="1:1" x14ac:dyDescent="0.25">
      <c r="A40">
        <f>IFERROR(Insumos!A40,"")</f>
      </c>
    </row>
    <row r="41" spans="1:1" x14ac:dyDescent="0.25">
      <c r="A41">
        <f>IFERROR(Insumos!A41,"")</f>
      </c>
    </row>
    <row r="42" spans="1:1" x14ac:dyDescent="0.25">
      <c r="A42">
        <f>IFERROR(Insumos!A42,"")</f>
      </c>
    </row>
    <row r="43" spans="1:1" x14ac:dyDescent="0.25">
      <c r="A43">
        <f>IFERROR(Insumos!A43,"")</f>
      </c>
    </row>
    <row r="44" spans="1:1" x14ac:dyDescent="0.25">
      <c r="A44">
        <f>IFERROR(Insumos!A44,"")</f>
      </c>
    </row>
    <row r="45" spans="1:1" x14ac:dyDescent="0.25">
      <c r="A45">
        <f>IFERROR(Insumos!A45,"")</f>
      </c>
    </row>
    <row r="46" spans="1:1" x14ac:dyDescent="0.25">
      <c r="A46">
        <f>IFERROR(Insumos!A46,"")</f>
      </c>
    </row>
    <row r="47" spans="1:1" x14ac:dyDescent="0.25">
      <c r="A47">
        <f>IFERROR(Insumos!A47,"")</f>
      </c>
    </row>
    <row r="48" spans="1:1" x14ac:dyDescent="0.25">
      <c r="A48">
        <f>IFERROR(Insumos!A48,"")</f>
      </c>
    </row>
    <row r="49" spans="1:1" x14ac:dyDescent="0.25">
      <c r="A49">
        <f>IFERROR(Insumos!A49,"")</f>
      </c>
    </row>
    <row r="50" spans="1:1" x14ac:dyDescent="0.25">
      <c r="A50">
        <f>IFERROR(Insumos!A50,"")</f>
      </c>
    </row>
    <row r="51" spans="1:1" x14ac:dyDescent="0.25">
      <c r="A51">
        <f>IFERROR(Insumos!A51,"")</f>
      </c>
    </row>
    <row r="52" spans="1:1" x14ac:dyDescent="0.25">
      <c r="A52">
        <f>IFERROR(Insumos!A52,"")</f>
      </c>
    </row>
    <row r="53" spans="1:1" x14ac:dyDescent="0.25">
      <c r="A53">
        <f>IFERROR(Insumos!A53,"")</f>
      </c>
    </row>
    <row r="54" spans="1:1" x14ac:dyDescent="0.25">
      <c r="A54">
        <f>IFERROR(Insumos!A54,"")</f>
      </c>
    </row>
    <row r="55" spans="1:1" x14ac:dyDescent="0.25">
      <c r="A55">
        <f>IFERROR(Insumos!A55,"")</f>
      </c>
    </row>
    <row r="56" spans="1:1" x14ac:dyDescent="0.25">
      <c r="A56">
        <f>IFERROR(Insumos!A56,"")</f>
      </c>
    </row>
    <row r="57" spans="1:1" x14ac:dyDescent="0.25">
      <c r="A57">
        <f>IFERROR(Insumos!A57,"")</f>
      </c>
    </row>
    <row r="58" spans="1:1" x14ac:dyDescent="0.25">
      <c r="A58">
        <f>IFERROR(Insumos!A58,"")</f>
      </c>
    </row>
    <row r="59" spans="1:1" x14ac:dyDescent="0.25">
      <c r="A59">
        <f>IFERROR(Insumos!A59,"")</f>
      </c>
    </row>
    <row r="60" spans="1:1" x14ac:dyDescent="0.25">
      <c r="A60">
        <f>IFERROR(Insumos!A60,"")</f>
      </c>
    </row>
    <row r="61" spans="1:1" x14ac:dyDescent="0.25">
      <c r="A61">
        <f>IFERROR(Insumos!A61,"")</f>
      </c>
    </row>
    <row r="62" spans="1:1" x14ac:dyDescent="0.25">
      <c r="A62">
        <f>IFERROR(Insumos!A62,"")</f>
      </c>
    </row>
    <row r="63" spans="1:1" x14ac:dyDescent="0.25">
      <c r="A63">
        <f>IFERROR(Insumos!A63,"")</f>
      </c>
    </row>
    <row r="64" spans="1:1" x14ac:dyDescent="0.25">
      <c r="A64">
        <f>IFERROR(Insumos!A64,"")</f>
      </c>
    </row>
    <row r="65" spans="1:1" x14ac:dyDescent="0.25">
      <c r="A65">
        <f>IFERROR(Insumos!A65,"")</f>
      </c>
    </row>
    <row r="66" spans="1:1" x14ac:dyDescent="0.25">
      <c r="A66">
        <f>IFERROR(Insumos!A66,"")</f>
      </c>
    </row>
    <row r="67" spans="1:1" x14ac:dyDescent="0.25">
      <c r="A67">
        <f>IFERROR(Insumos!A67,"")</f>
      </c>
    </row>
    <row r="68" spans="1:1" x14ac:dyDescent="0.25">
      <c r="A68">
        <f>IFERROR(Insumos!A68,"")</f>
      </c>
    </row>
    <row r="69" spans="1:1" x14ac:dyDescent="0.25">
      <c r="A69">
        <f>IFERROR(Insumos!A69,"")</f>
      </c>
    </row>
    <row r="70" spans="1:1" x14ac:dyDescent="0.25">
      <c r="A70">
        <f>IFERROR(Insumos!A70,"")</f>
      </c>
    </row>
    <row r="71" spans="1:1" x14ac:dyDescent="0.25">
      <c r="A71">
        <f>IFERROR(Insumos!A71,"")</f>
      </c>
    </row>
    <row r="72" spans="1:1" x14ac:dyDescent="0.25">
      <c r="A72">
        <f>IFERROR(Insumos!A72,"")</f>
      </c>
    </row>
    <row r="73" spans="1:1" x14ac:dyDescent="0.25">
      <c r="A73">
        <f>IFERROR(Insumos!A73,"")</f>
      </c>
    </row>
    <row r="74" spans="1:1" x14ac:dyDescent="0.25">
      <c r="A74">
        <f>IFERROR(Insumos!A74,"")</f>
      </c>
    </row>
    <row r="75" spans="1:1" x14ac:dyDescent="0.25">
      <c r="A75">
        <f>IFERROR(Insumos!A75,"")</f>
      </c>
    </row>
    <row r="76" spans="1:1" x14ac:dyDescent="0.25">
      <c r="A76">
        <f>IFERROR(Insumos!A76,"")</f>
      </c>
    </row>
    <row r="77" spans="1:1" x14ac:dyDescent="0.25">
      <c r="A77">
        <f>IFERROR(Insumos!A77,"")</f>
      </c>
    </row>
    <row r="78" spans="1:1" x14ac:dyDescent="0.25">
      <c r="A78">
        <f>IFERROR(Insumos!A78,"")</f>
      </c>
    </row>
    <row r="79" spans="1:1" x14ac:dyDescent="0.25">
      <c r="A79">
        <f>IFERROR(Insumos!A79,"")</f>
      </c>
    </row>
    <row r="80" spans="1:1" x14ac:dyDescent="0.25">
      <c r="A80">
        <f>IFERROR(Insumos!A80,"")</f>
      </c>
    </row>
    <row r="81" spans="1:1" x14ac:dyDescent="0.25">
      <c r="A81">
        <f>IFERROR(Insumos!A81,"")</f>
      </c>
    </row>
    <row r="82" spans="1:1" x14ac:dyDescent="0.25">
      <c r="A82">
        <f>IFERROR(Insumos!A82,"")</f>
      </c>
    </row>
    <row r="83" spans="1:1" x14ac:dyDescent="0.25">
      <c r="A83">
        <f>IFERROR(Insumos!A83,"")</f>
      </c>
    </row>
    <row r="84" spans="1:1" x14ac:dyDescent="0.25">
      <c r="A84">
        <f>IFERROR(Insumos!A84,"")</f>
      </c>
    </row>
    <row r="85" spans="1:1" x14ac:dyDescent="0.25">
      <c r="A85">
        <f>IFERROR(Insumos!A85,"")</f>
      </c>
    </row>
    <row r="86" spans="1:1" x14ac:dyDescent="0.25">
      <c r="A86">
        <f>IFERROR(Insumos!A86,"")</f>
      </c>
    </row>
    <row r="87" spans="1:1" x14ac:dyDescent="0.25">
      <c r="A87">
        <f>IFERROR(Insumos!A87,"")</f>
      </c>
    </row>
    <row r="88" spans="1:1" x14ac:dyDescent="0.25">
      <c r="A88">
        <f>IFERROR(Insumos!A88,"")</f>
      </c>
    </row>
    <row r="89" spans="1:1" x14ac:dyDescent="0.25">
      <c r="A89">
        <f>IFERROR(Insumos!A89,"")</f>
      </c>
    </row>
    <row r="90" spans="1:1" x14ac:dyDescent="0.25">
      <c r="A90">
        <f>IFERROR(Insumos!A90,"")</f>
      </c>
    </row>
    <row r="91" spans="1:1" x14ac:dyDescent="0.25">
      <c r="A91">
        <f>IFERROR(Insumos!A91,"")</f>
      </c>
    </row>
    <row r="92" spans="1:1" x14ac:dyDescent="0.25">
      <c r="A92">
        <f>IFERROR(Insumos!A92,"")</f>
      </c>
    </row>
    <row r="93" spans="1:1" x14ac:dyDescent="0.25">
      <c r="A93">
        <f>IFERROR(Insumos!A93,"")</f>
      </c>
    </row>
    <row r="94" spans="1:1" x14ac:dyDescent="0.25">
      <c r="A94">
        <f>IFERROR(Insumos!A94,"")</f>
      </c>
    </row>
    <row r="95" spans="1:1" x14ac:dyDescent="0.25">
      <c r="A95">
        <f>IFERROR(Insumos!A95,"")</f>
      </c>
    </row>
    <row r="96" spans="1:1" x14ac:dyDescent="0.25">
      <c r="A96">
        <f>IFERROR(Insumos!A96,"")</f>
      </c>
    </row>
    <row r="97" spans="1:1" x14ac:dyDescent="0.25">
      <c r="A97">
        <f>IFERROR(Insumos!A97,"")</f>
      </c>
    </row>
    <row r="98" spans="1:1" x14ac:dyDescent="0.25">
      <c r="A98">
        <f>IFERROR(Insumos!A98,"")</f>
      </c>
    </row>
    <row r="99" spans="1:1" x14ac:dyDescent="0.25">
      <c r="A99">
        <f>IFERROR(Insumos!A99,"")</f>
      </c>
    </row>
    <row r="100" spans="1:1" x14ac:dyDescent="0.25">
      <c r="A100">
        <f>IFERROR(Insumos!A100,"")</f>
      </c>
    </row>
    <row r="101" spans="1:1" x14ac:dyDescent="0.25">
      <c r="A101">
        <f>IFERROR(Insumos!A101,"")</f>
      </c>
    </row>
    <row r="102" spans="1:1" x14ac:dyDescent="0.25">
      <c r="A102">
        <f>IFERROR(Insumos!A102,"")</f>
      </c>
    </row>
    <row r="103" spans="1:1" x14ac:dyDescent="0.25">
      <c r="A103">
        <f>IFERROR(Insumos!A103,"")</f>
      </c>
    </row>
    <row r="104" spans="1:1" x14ac:dyDescent="0.25">
      <c r="A104">
        <f>IFERROR(Insumos!A104,"")</f>
      </c>
    </row>
    <row r="105" spans="1:1" x14ac:dyDescent="0.25">
      <c r="A105">
        <f>IFERROR(Insumos!A105,"")</f>
      </c>
    </row>
    <row r="106" spans="1:1" x14ac:dyDescent="0.25">
      <c r="A106">
        <f>IFERROR(Insumos!A106,"")</f>
      </c>
    </row>
    <row r="107" spans="1:1" x14ac:dyDescent="0.25">
      <c r="A107">
        <f>IFERROR(Insumos!A107,"")</f>
      </c>
    </row>
    <row r="108" spans="1:1" x14ac:dyDescent="0.25">
      <c r="A108">
        <f>IFERROR(Insumos!A108,"")</f>
      </c>
    </row>
    <row r="109" spans="1:1" x14ac:dyDescent="0.25">
      <c r="A109">
        <f>IFERROR(Insumos!A109,"")</f>
      </c>
    </row>
    <row r="110" spans="1:1" x14ac:dyDescent="0.25">
      <c r="A110">
        <f>IFERROR(Insumos!A110,"")</f>
      </c>
    </row>
    <row r="111" spans="1:1" x14ac:dyDescent="0.25">
      <c r="A111">
        <f>IFERROR(Insumos!A111,"")</f>
      </c>
    </row>
    <row r="112" spans="1:1" x14ac:dyDescent="0.25">
      <c r="A112">
        <f>IFERROR(Insumos!A112,"")</f>
      </c>
    </row>
    <row r="113" spans="1:1" x14ac:dyDescent="0.25">
      <c r="A113">
        <f>IFERROR(Insumos!A113,"")</f>
      </c>
    </row>
    <row r="114" spans="1:1" x14ac:dyDescent="0.25">
      <c r="A114">
        <f>IFERROR(Insumos!A114,"")</f>
      </c>
    </row>
    <row r="115" spans="1:1" x14ac:dyDescent="0.25">
      <c r="A115">
        <f>IFERROR(Insumos!A115,"")</f>
      </c>
    </row>
    <row r="116" spans="1:1" x14ac:dyDescent="0.25">
      <c r="A116">
        <f>IFERROR(Insumos!A116,"")</f>
      </c>
    </row>
    <row r="117" spans="1:1" x14ac:dyDescent="0.25">
      <c r="A117">
        <f>IFERROR(Insumos!A117,"")</f>
      </c>
    </row>
    <row r="118" spans="1:1" x14ac:dyDescent="0.25">
      <c r="A118">
        <f>IFERROR(Insumos!A118,"")</f>
      </c>
    </row>
    <row r="119" spans="1:1" x14ac:dyDescent="0.25">
      <c r="A119">
        <f>IFERROR(Insumos!A119,"")</f>
      </c>
    </row>
    <row r="120" spans="1:1" x14ac:dyDescent="0.25">
      <c r="A120">
        <f>IFERROR(Insumos!A120,"")</f>
      </c>
    </row>
    <row r="121" spans="1:1" x14ac:dyDescent="0.25">
      <c r="A121">
        <f>IFERROR(Insumos!A121,"")</f>
      </c>
    </row>
    <row r="122" spans="1:1" x14ac:dyDescent="0.25">
      <c r="A122">
        <f>IFERROR(Insumos!A122,"")</f>
      </c>
    </row>
    <row r="123" spans="1:1" x14ac:dyDescent="0.25">
      <c r="A123">
        <f>IFERROR(Insumos!A123,"")</f>
      </c>
    </row>
    <row r="124" spans="1:1" x14ac:dyDescent="0.25">
      <c r="A124">
        <f>IFERROR(Insumos!A124,"")</f>
      </c>
    </row>
    <row r="125" spans="1:1" x14ac:dyDescent="0.25">
      <c r="A125">
        <f>IFERROR(Insumos!A125,"")</f>
      </c>
    </row>
    <row r="126" spans="1:1" x14ac:dyDescent="0.25">
      <c r="A126">
        <f>IFERROR(Insumos!A126,"")</f>
      </c>
    </row>
    <row r="127" spans="1:1" x14ac:dyDescent="0.25">
      <c r="A127">
        <f>IFERROR(Insumos!A127,"")</f>
      </c>
    </row>
    <row r="128" spans="1:1" x14ac:dyDescent="0.25">
      <c r="A128">
        <f>IFERROR(Insumos!A128,"")</f>
      </c>
    </row>
    <row r="129" spans="1:1" x14ac:dyDescent="0.25">
      <c r="A129">
        <f>IFERROR(Insumos!A129,"")</f>
      </c>
    </row>
    <row r="130" spans="1:1" x14ac:dyDescent="0.25">
      <c r="A130">
        <f>IFERROR(Insumos!A130,"")</f>
      </c>
    </row>
    <row r="131" spans="1:1" x14ac:dyDescent="0.25">
      <c r="A131">
        <f>IFERROR(Insumos!A131,"")</f>
      </c>
    </row>
    <row r="132" spans="1:1" x14ac:dyDescent="0.25">
      <c r="A132">
        <f>IFERROR(Insumos!A132,"")</f>
      </c>
    </row>
    <row r="133" spans="1:1" x14ac:dyDescent="0.25">
      <c r="A133">
        <f>IFERROR(Insumos!A133,"")</f>
      </c>
    </row>
    <row r="134" spans="1:1" x14ac:dyDescent="0.25">
      <c r="A134">
        <f>IFERROR(Insumos!A134,"")</f>
      </c>
    </row>
    <row r="135" spans="1:1" x14ac:dyDescent="0.25">
      <c r="A135">
        <f>IFERROR(Insumos!A135,"")</f>
      </c>
    </row>
    <row r="136" spans="1:1" x14ac:dyDescent="0.25">
      <c r="A136">
        <f>IFERROR(Insumos!A136,"")</f>
      </c>
    </row>
    <row r="137" spans="1:1" x14ac:dyDescent="0.25">
      <c r="A137">
        <f>IFERROR(Insumos!A137,"")</f>
      </c>
    </row>
    <row r="138" spans="1:1" x14ac:dyDescent="0.25">
      <c r="A138">
        <f>IFERROR(Insumos!A138,"")</f>
      </c>
    </row>
    <row r="139" spans="1:1" x14ac:dyDescent="0.25">
      <c r="A139">
        <f>IFERROR(Insumos!A139,"")</f>
      </c>
    </row>
    <row r="140" spans="1:1" x14ac:dyDescent="0.25">
      <c r="A140">
        <f>IFERROR(Insumos!A140,"")</f>
      </c>
    </row>
    <row r="141" spans="1:1" x14ac:dyDescent="0.25">
      <c r="A141">
        <f>IFERROR(Insumos!A141,"")</f>
      </c>
    </row>
    <row r="142" spans="1:1" x14ac:dyDescent="0.25">
      <c r="A142">
        <f>IFERROR(Insumos!A142,"")</f>
      </c>
    </row>
    <row r="143" spans="1:1" x14ac:dyDescent="0.25">
      <c r="A143">
        <f>IFERROR(Insumos!A143,"")</f>
      </c>
    </row>
    <row r="144" spans="1:1" x14ac:dyDescent="0.25">
      <c r="A144">
        <f>IFERROR(Insumos!A144,"")</f>
      </c>
    </row>
    <row r="145" spans="1:1" x14ac:dyDescent="0.25">
      <c r="A145">
        <f>IFERROR(Insumos!A145,"")</f>
      </c>
    </row>
    <row r="146" spans="1:1" x14ac:dyDescent="0.25">
      <c r="A146">
        <f>IFERROR(Insumos!A146,"")</f>
      </c>
    </row>
    <row r="147" spans="1:1" x14ac:dyDescent="0.25">
      <c r="A147">
        <f>IFERROR(Insumos!A147,"")</f>
      </c>
    </row>
    <row r="148" spans="1:1" x14ac:dyDescent="0.25">
      <c r="A148">
        <f>IFERROR(Insumos!A148,"")</f>
      </c>
    </row>
    <row r="149" spans="1:1" x14ac:dyDescent="0.25">
      <c r="A149">
        <f>IFERROR(Insumos!A149,"")</f>
      </c>
    </row>
    <row r="150" spans="1:1" x14ac:dyDescent="0.25">
      <c r="A150">
        <f>IFERROR(Insumos!A150,"")</f>
      </c>
    </row>
    <row r="151" spans="1:1" x14ac:dyDescent="0.25">
      <c r="A151">
        <f>IFERROR(Insumos!A151,"")</f>
      </c>
    </row>
    <row r="152" spans="1:1" x14ac:dyDescent="0.25">
      <c r="A152">
        <f>IFERROR(Insumos!A152,"")</f>
      </c>
    </row>
    <row r="153" spans="1:1" x14ac:dyDescent="0.25">
      <c r="A153">
        <f>IFERROR(Insumos!A153,"")</f>
      </c>
    </row>
    <row r="154" spans="1:1" x14ac:dyDescent="0.25">
      <c r="A154">
        <f>IFERROR(Insumos!A154,"")</f>
      </c>
    </row>
    <row r="155" spans="1:1" x14ac:dyDescent="0.25">
      <c r="A155">
        <f>IFERROR(Insumos!A155,"")</f>
      </c>
    </row>
    <row r="156" spans="1:1" x14ac:dyDescent="0.25">
      <c r="A156">
        <f>IFERROR(Insumos!A156,"")</f>
      </c>
    </row>
    <row r="157" spans="1:1" x14ac:dyDescent="0.25">
      <c r="A157">
        <f>IFERROR(Insumos!A157,"")</f>
      </c>
    </row>
    <row r="158" spans="1:1" x14ac:dyDescent="0.25">
      <c r="A158">
        <f>IFERROR(Insumos!A158,"")</f>
      </c>
    </row>
    <row r="159" spans="1:1" x14ac:dyDescent="0.25">
      <c r="A159">
        <f>IFERROR(Insumos!A159,"")</f>
      </c>
    </row>
    <row r="160" spans="1:1" x14ac:dyDescent="0.25">
      <c r="A160">
        <f>IFERROR(Insumos!A160,"")</f>
      </c>
    </row>
    <row r="161" spans="1:1" x14ac:dyDescent="0.25">
      <c r="A161">
        <f>IFERROR(Insumos!A161,"")</f>
      </c>
    </row>
    <row r="162" spans="1:1" x14ac:dyDescent="0.25">
      <c r="A162">
        <f>IFERROR(Insumos!A162,"")</f>
      </c>
    </row>
    <row r="163" spans="1:1" x14ac:dyDescent="0.25">
      <c r="A163">
        <f>IFERROR(Insumos!A163,"")</f>
      </c>
    </row>
    <row r="164" spans="1:1" x14ac:dyDescent="0.25">
      <c r="A164">
        <f>IFERROR(Insumos!A164,"")</f>
      </c>
    </row>
    <row r="165" spans="1:1" x14ac:dyDescent="0.25">
      <c r="A165">
        <f>IFERROR(Insumos!A165,"")</f>
      </c>
    </row>
    <row r="166" spans="1:1" x14ac:dyDescent="0.25">
      <c r="A166">
        <f>IFERROR(Insumos!A166,"")</f>
      </c>
    </row>
    <row r="167" spans="1:1" x14ac:dyDescent="0.25">
      <c r="A167">
        <f>IFERROR(Insumos!A167,"")</f>
      </c>
    </row>
    <row r="168" spans="1:1" x14ac:dyDescent="0.25">
      <c r="A168">
        <f>IFERROR(Insumos!A168,"")</f>
      </c>
    </row>
    <row r="169" spans="1:1" x14ac:dyDescent="0.25">
      <c r="A169">
        <f>IFERROR(Insumos!A169,"")</f>
      </c>
    </row>
    <row r="170" spans="1:1" x14ac:dyDescent="0.25">
      <c r="A170">
        <f>IFERROR(Insumos!A170,"")</f>
      </c>
    </row>
    <row r="171" spans="1:1" x14ac:dyDescent="0.25">
      <c r="A171">
        <f>IFERROR(Insumos!A171,"")</f>
      </c>
    </row>
    <row r="172" spans="1:1" x14ac:dyDescent="0.25">
      <c r="A172">
        <f>IFERROR(Insumos!A172,"")</f>
      </c>
    </row>
    <row r="173" spans="1:1" x14ac:dyDescent="0.25">
      <c r="A173">
        <f>IFERROR(Insumos!A173,"")</f>
      </c>
    </row>
    <row r="174" spans="1:1" x14ac:dyDescent="0.25">
      <c r="A174">
        <f>IFERROR(Insumos!A174,"")</f>
      </c>
    </row>
    <row r="175" spans="1:1" x14ac:dyDescent="0.25">
      <c r="A175">
        <f>IFERROR(Insumos!A175,"")</f>
      </c>
    </row>
    <row r="176" spans="1:1" x14ac:dyDescent="0.25">
      <c r="A176">
        <f>IFERROR(Insumos!A176,"")</f>
      </c>
    </row>
    <row r="177" spans="1:1" x14ac:dyDescent="0.25">
      <c r="A177">
        <f>IFERROR(Insumos!A177,"")</f>
      </c>
    </row>
    <row r="178" spans="1:1" x14ac:dyDescent="0.25">
      <c r="A178">
        <f>IFERROR(Insumos!A178,"")</f>
      </c>
    </row>
    <row r="179" spans="1:1" x14ac:dyDescent="0.25">
      <c r="A179">
        <f>IFERROR(Insumos!A179,"")</f>
      </c>
    </row>
    <row r="180" spans="1:1" x14ac:dyDescent="0.25">
      <c r="A180">
        <f>IFERROR(Insumos!A180,"")</f>
      </c>
    </row>
    <row r="181" spans="1:1" x14ac:dyDescent="0.25">
      <c r="A181">
        <f>IFERROR(Insumos!A181,"")</f>
      </c>
    </row>
    <row r="182" spans="1:1" x14ac:dyDescent="0.25">
      <c r="A182">
        <f>IFERROR(Insumos!A182,"")</f>
      </c>
    </row>
    <row r="183" spans="1:1" x14ac:dyDescent="0.25">
      <c r="A183">
        <f>IFERROR(Insumos!A183,"")</f>
      </c>
    </row>
    <row r="184" spans="1:1" x14ac:dyDescent="0.25">
      <c r="A184">
        <f>IFERROR(Insumos!A184,"")</f>
      </c>
    </row>
    <row r="185" spans="1:1" x14ac:dyDescent="0.25">
      <c r="A185">
        <f>IFERROR(Insumos!A185,"")</f>
      </c>
    </row>
    <row r="186" spans="1:1" x14ac:dyDescent="0.25">
      <c r="A186">
        <f>IFERROR(Insumos!A186,"")</f>
      </c>
    </row>
    <row r="187" spans="1:1" x14ac:dyDescent="0.25">
      <c r="A187">
        <f>IFERROR(Insumos!A187,"")</f>
      </c>
    </row>
    <row r="188" spans="1:1" x14ac:dyDescent="0.25">
      <c r="A188">
        <f>IFERROR(Insumos!A188,"")</f>
      </c>
    </row>
    <row r="189" spans="1:1" x14ac:dyDescent="0.25">
      <c r="A189">
        <f>IFERROR(Insumos!A189,"")</f>
      </c>
    </row>
    <row r="190" spans="1:1" x14ac:dyDescent="0.25">
      <c r="A190">
        <f>IFERROR(Insumos!A190,"")</f>
      </c>
    </row>
    <row r="191" spans="1:1" x14ac:dyDescent="0.25">
      <c r="A191">
        <f>IFERROR(Insumos!A191,"")</f>
      </c>
    </row>
    <row r="192" spans="1:1" x14ac:dyDescent="0.25">
      <c r="A192">
        <f>IFERROR(Insumos!A192,"")</f>
      </c>
    </row>
    <row r="193" spans="1:1" x14ac:dyDescent="0.25">
      <c r="A193">
        <f>IFERROR(Insumos!A193,"")</f>
      </c>
    </row>
    <row r="194" spans="1:1" x14ac:dyDescent="0.25">
      <c r="A194">
        <f>IFERROR(Insumos!A194,"")</f>
      </c>
    </row>
    <row r="195" spans="1:1" x14ac:dyDescent="0.25">
      <c r="A195">
        <f>IFERROR(Insumos!A195,"")</f>
      </c>
    </row>
    <row r="196" spans="1:1" x14ac:dyDescent="0.25">
      <c r="A196">
        <f>IFERROR(Insumos!A196,"")</f>
      </c>
    </row>
    <row r="197" spans="1:1" x14ac:dyDescent="0.25">
      <c r="A197">
        <f>IFERROR(Insumos!A197,"")</f>
      </c>
    </row>
    <row r="198" spans="1:1" x14ac:dyDescent="0.25">
      <c r="A198">
        <f>IFERROR(Insumos!A198,"")</f>
      </c>
    </row>
    <row r="199" spans="1:1" x14ac:dyDescent="0.25">
      <c r="A199">
        <f>IFERROR(Insumos!A199,"")</f>
      </c>
    </row>
    <row r="200" spans="1:1" x14ac:dyDescent="0.25">
      <c r="A200">
        <f>IFERROR(Insumos!A200,"")</f>
      </c>
    </row>
    <row r="201" spans="1:1" x14ac:dyDescent="0.25">
      <c r="A201">
        <f>IFERROR(Insumos!A201,"")</f>
      </c>
    </row>
    <row r="202" spans="1:1" x14ac:dyDescent="0.25">
      <c r="A202">
        <f>IFERROR(Insumos!A202,"")</f>
      </c>
    </row>
    <row r="203" spans="1:1" x14ac:dyDescent="0.25">
      <c r="A203">
        <f>IFERROR(Insumos!A203,"")</f>
      </c>
    </row>
    <row r="204" spans="1:1" x14ac:dyDescent="0.25">
      <c r="A204">
        <f>IFERROR(Insumos!A204,"")</f>
      </c>
    </row>
    <row r="205" spans="1:1" x14ac:dyDescent="0.25">
      <c r="A205">
        <f>IFERROR(Insumos!A205,"")</f>
      </c>
    </row>
    <row r="206" spans="1:1" x14ac:dyDescent="0.25">
      <c r="A206">
        <f>IFERROR(Insumos!A206,"")</f>
      </c>
    </row>
    <row r="207" spans="1:1" x14ac:dyDescent="0.25">
      <c r="A207">
        <f>IFERROR(Insumos!A207,"")</f>
      </c>
    </row>
    <row r="208" spans="1:1" x14ac:dyDescent="0.25">
      <c r="A208">
        <f>IFERROR(Insumos!A208,"")</f>
      </c>
    </row>
    <row r="209" spans="1:1" x14ac:dyDescent="0.25">
      <c r="A209">
        <f>IFERROR(Insumos!A209,"")</f>
      </c>
    </row>
    <row r="210" spans="1:1" x14ac:dyDescent="0.25">
      <c r="A210">
        <f>IFERROR(Insumos!A210,"")</f>
      </c>
    </row>
    <row r="211" spans="1:1" x14ac:dyDescent="0.25">
      <c r="A211">
        <f>IFERROR(Insumos!A211,"")</f>
      </c>
    </row>
    <row r="212" spans="1:1" x14ac:dyDescent="0.25">
      <c r="A212">
        <f>IFERROR(Insumos!A212,"")</f>
      </c>
    </row>
    <row r="213" spans="1:1" x14ac:dyDescent="0.25">
      <c r="A213">
        <f>IFERROR(Insumos!A213,"")</f>
      </c>
    </row>
    <row r="214" spans="1:1" x14ac:dyDescent="0.25">
      <c r="A214">
        <f>IFERROR(Insumos!A214,"")</f>
      </c>
    </row>
    <row r="215" spans="1:1" x14ac:dyDescent="0.25">
      <c r="A215">
        <f>IFERROR(Insumos!A215,"")</f>
      </c>
    </row>
    <row r="216" spans="1:1" x14ac:dyDescent="0.25">
      <c r="A216">
        <f>IFERROR(Insumos!A216,"")</f>
      </c>
    </row>
    <row r="217" spans="1:1" x14ac:dyDescent="0.25">
      <c r="A217">
        <f>IFERROR(Insumos!A217,"")</f>
      </c>
    </row>
    <row r="218" spans="1:1" x14ac:dyDescent="0.25">
      <c r="A218">
        <f>IFERROR(Insumos!A218,"")</f>
      </c>
    </row>
    <row r="219" spans="1:1" x14ac:dyDescent="0.25">
      <c r="A219">
        <f>IFERROR(Insumos!A219,"")</f>
      </c>
    </row>
    <row r="220" spans="1:1" x14ac:dyDescent="0.25">
      <c r="A220">
        <f>IFERROR(Insumos!A220,"")</f>
      </c>
    </row>
    <row r="221" spans="1:1" x14ac:dyDescent="0.25">
      <c r="A221">
        <f>IFERROR(Insumos!A221,"")</f>
      </c>
    </row>
    <row r="222" spans="1:1" x14ac:dyDescent="0.25">
      <c r="A222">
        <f>IFERROR(Insumos!A222,"")</f>
      </c>
    </row>
    <row r="223" spans="1:1" x14ac:dyDescent="0.25">
      <c r="A223">
        <f>IFERROR(Insumos!A223,"")</f>
      </c>
    </row>
    <row r="224" spans="1:1" x14ac:dyDescent="0.25">
      <c r="A224">
        <f>IFERROR(Insumos!A224,"")</f>
      </c>
    </row>
    <row r="225" spans="1:1" x14ac:dyDescent="0.25">
      <c r="A225">
        <f>IFERROR(Insumos!A225,"")</f>
      </c>
    </row>
    <row r="226" spans="1:1" x14ac:dyDescent="0.25">
      <c r="A226">
        <f>IFERROR(Insumos!A226,"")</f>
      </c>
    </row>
    <row r="227" spans="1:1" x14ac:dyDescent="0.25">
      <c r="A227">
        <f>IFERROR(Insumos!A227,"")</f>
      </c>
    </row>
    <row r="228" spans="1:1" x14ac:dyDescent="0.25">
      <c r="A228">
        <f>IFERROR(Insumos!A228,"")</f>
      </c>
    </row>
    <row r="229" spans="1:1" x14ac:dyDescent="0.25">
      <c r="A229">
        <f>IFERROR(Insumos!A229,"")</f>
      </c>
    </row>
    <row r="230" spans="1:1" x14ac:dyDescent="0.25">
      <c r="A230">
        <f>IFERROR(Insumos!A230,"")</f>
      </c>
    </row>
    <row r="231" spans="1:1" x14ac:dyDescent="0.25">
      <c r="A231">
        <f>IFERROR(Insumos!A231,"")</f>
      </c>
    </row>
    <row r="232" spans="1:1" x14ac:dyDescent="0.25">
      <c r="A232">
        <f>IFERROR(Insumos!A232,"")</f>
      </c>
    </row>
    <row r="233" spans="1:1" x14ac:dyDescent="0.25">
      <c r="A233">
        <f>IFERROR(Insumos!A233,"")</f>
      </c>
    </row>
    <row r="234" spans="1:1" x14ac:dyDescent="0.25">
      <c r="A234">
        <f>IFERROR(Insumos!A234,"")</f>
      </c>
    </row>
    <row r="235" spans="1:1" x14ac:dyDescent="0.25">
      <c r="A235">
        <f>IFERROR(Insumos!A235,"")</f>
      </c>
    </row>
    <row r="236" spans="1:1" x14ac:dyDescent="0.25">
      <c r="A236">
        <f>IFERROR(Insumos!A236,"")</f>
      </c>
    </row>
    <row r="237" spans="1:1" x14ac:dyDescent="0.25">
      <c r="A237">
        <f>IFERROR(Insumos!A237,"")</f>
      </c>
    </row>
    <row r="238" spans="1:1" x14ac:dyDescent="0.25">
      <c r="A238">
        <f>IFERROR(Insumos!A238,"")</f>
      </c>
    </row>
    <row r="239" spans="1:1" x14ac:dyDescent="0.25">
      <c r="A239">
        <f>IFERROR(Insumos!A239,"")</f>
      </c>
    </row>
    <row r="240" spans="1:1" x14ac:dyDescent="0.25">
      <c r="A240">
        <f>IFERROR(Insumos!A240,"")</f>
      </c>
    </row>
    <row r="241" spans="1:1" x14ac:dyDescent="0.25">
      <c r="A241">
        <f>IFERROR(Insumos!A241,"")</f>
      </c>
    </row>
    <row r="242" spans="1:1" x14ac:dyDescent="0.25">
      <c r="A242">
        <f>IFERROR(Insumos!A242,"")</f>
      </c>
    </row>
    <row r="243" spans="1:1" x14ac:dyDescent="0.25">
      <c r="A243">
        <f>IFERROR(Insumos!A243,"")</f>
      </c>
    </row>
    <row r="244" spans="1:1" x14ac:dyDescent="0.25">
      <c r="A244">
        <f>IFERROR(Insumos!A244,"")</f>
      </c>
    </row>
    <row r="245" spans="1:1" x14ac:dyDescent="0.25">
      <c r="A245">
        <f>IFERROR(Insumos!A245,"")</f>
      </c>
    </row>
    <row r="246" spans="1:1" x14ac:dyDescent="0.25">
      <c r="A246">
        <f>IFERROR(Insumos!A246,"")</f>
      </c>
    </row>
    <row r="247" spans="1:1" x14ac:dyDescent="0.25">
      <c r="A247">
        <f>IFERROR(Insumos!A247,"")</f>
      </c>
    </row>
    <row r="248" spans="1:1" x14ac:dyDescent="0.25">
      <c r="A248">
        <f>IFERROR(Insumos!A248,"")</f>
      </c>
    </row>
    <row r="249" spans="1:1" x14ac:dyDescent="0.25">
      <c r="A249">
        <f>IFERROR(Insumos!A249,"")</f>
      </c>
    </row>
    <row r="250" spans="1:1" x14ac:dyDescent="0.25">
      <c r="A250">
        <f>IFERROR(Insumos!A250,"")</f>
      </c>
    </row>
    <row r="251" spans="1:1" x14ac:dyDescent="0.25">
      <c r="A251">
        <f>IFERROR(Insumos!A251,"")</f>
      </c>
    </row>
    <row r="252" spans="1:1" x14ac:dyDescent="0.25">
      <c r="A252">
        <f>IFERROR(Insumos!A252,"")</f>
      </c>
    </row>
    <row r="253" spans="1:1" x14ac:dyDescent="0.25">
      <c r="A253">
        <f>IFERROR(Insumos!A253,"")</f>
      </c>
    </row>
    <row r="254" spans="1:1" x14ac:dyDescent="0.25">
      <c r="A254">
        <f>IFERROR(Insumos!A254,"")</f>
      </c>
    </row>
    <row r="255" spans="1:1" x14ac:dyDescent="0.25">
      <c r="A255">
        <f>IFERROR(Insumos!A255,"")</f>
      </c>
    </row>
    <row r="256" spans="1:1" x14ac:dyDescent="0.25">
      <c r="A256">
        <f>IFERROR(Insumos!A256,"")</f>
      </c>
    </row>
    <row r="257" spans="1:1" x14ac:dyDescent="0.25">
      <c r="A257">
        <f>IFERROR(Insumos!A257,"")</f>
      </c>
    </row>
    <row r="258" spans="1:1" x14ac:dyDescent="0.25">
      <c r="A258">
        <f>IFERROR(Insumos!A258,"")</f>
      </c>
    </row>
    <row r="259" spans="1:1" x14ac:dyDescent="0.25">
      <c r="A259">
        <f>IFERROR(Insumos!A259,"")</f>
      </c>
    </row>
    <row r="260" spans="1:1" x14ac:dyDescent="0.25">
      <c r="A260">
        <f>IFERROR(Insumos!A260,"")</f>
      </c>
    </row>
    <row r="261" spans="1:1" x14ac:dyDescent="0.25">
      <c r="A261">
        <f>IFERROR(Insumos!A261,"")</f>
      </c>
    </row>
    <row r="262" spans="1:1" x14ac:dyDescent="0.25">
      <c r="A262">
        <f>IFERROR(Insumos!A262,"")</f>
      </c>
    </row>
    <row r="263" spans="1:1" x14ac:dyDescent="0.25">
      <c r="A263">
        <f>IFERROR(Insumos!A263,"")</f>
      </c>
    </row>
    <row r="264" spans="1:1" x14ac:dyDescent="0.25">
      <c r="A264">
        <f>IFERROR(Insumos!A264,"")</f>
      </c>
    </row>
    <row r="265" spans="1:1" x14ac:dyDescent="0.25">
      <c r="A265">
        <f>IFERROR(Insumos!A265,"")</f>
      </c>
    </row>
    <row r="266" spans="1:1" x14ac:dyDescent="0.25">
      <c r="A266">
        <f>IFERROR(Insumos!A266,"")</f>
      </c>
    </row>
    <row r="267" spans="1:1" x14ac:dyDescent="0.25">
      <c r="A267">
        <f>IFERROR(Insumos!A267,"")</f>
      </c>
    </row>
    <row r="268" spans="1:1" x14ac:dyDescent="0.25">
      <c r="A268">
        <f>IFERROR(Insumos!A268,"")</f>
      </c>
    </row>
    <row r="269" spans="1:1" x14ac:dyDescent="0.25">
      <c r="A269">
        <f>IFERROR(Insumos!A269,"")</f>
      </c>
    </row>
    <row r="270" spans="1:1" x14ac:dyDescent="0.25">
      <c r="A270">
        <f>IFERROR(Insumos!A270,"")</f>
      </c>
    </row>
    <row r="271" spans="1:1" x14ac:dyDescent="0.25">
      <c r="A271">
        <f>IFERROR(Insumos!A271,"")</f>
      </c>
    </row>
    <row r="272" spans="1:1" x14ac:dyDescent="0.25">
      <c r="A272">
        <f>IFERROR(Insumos!A272,"")</f>
      </c>
    </row>
    <row r="273" spans="1:1" x14ac:dyDescent="0.25">
      <c r="A273">
        <f>IFERROR(Insumos!A273,"")</f>
      </c>
    </row>
    <row r="274" spans="1:1" x14ac:dyDescent="0.25">
      <c r="A274">
        <f>IFERROR(Insumos!A274,"")</f>
      </c>
    </row>
    <row r="275" spans="1:1" x14ac:dyDescent="0.25">
      <c r="A275">
        <f>IFERROR(Insumos!A275,"")</f>
      </c>
    </row>
    <row r="276" spans="1:1" x14ac:dyDescent="0.25">
      <c r="A276">
        <f>IFERROR(Insumos!A276,"")</f>
      </c>
    </row>
    <row r="277" spans="1:1" x14ac:dyDescent="0.25">
      <c r="A277">
        <f>IFERROR(Insumos!A277,"")</f>
      </c>
    </row>
    <row r="278" spans="1:1" x14ac:dyDescent="0.25">
      <c r="A278">
        <f>IFERROR(Insumos!A278,"")</f>
      </c>
    </row>
    <row r="279" spans="1:1" x14ac:dyDescent="0.25">
      <c r="A279">
        <f>IFERROR(Insumos!A279,"")</f>
      </c>
    </row>
    <row r="280" spans="1:1" x14ac:dyDescent="0.25">
      <c r="A280">
        <f>IFERROR(Insumos!A280,"")</f>
      </c>
    </row>
    <row r="281" spans="1:1" x14ac:dyDescent="0.25">
      <c r="A281">
        <f>IFERROR(Insumos!A281,"")</f>
      </c>
    </row>
    <row r="282" spans="1:1" x14ac:dyDescent="0.25">
      <c r="A282">
        <f>IFERROR(Insumos!A282,"")</f>
      </c>
    </row>
    <row r="283" spans="1:1" x14ac:dyDescent="0.25">
      <c r="A283">
        <f>IFERROR(Insumos!A283,"")</f>
      </c>
    </row>
    <row r="284" spans="1:1" x14ac:dyDescent="0.25">
      <c r="A284">
        <f>IFERROR(Insumos!A284,"")</f>
      </c>
    </row>
    <row r="285" spans="1:1" x14ac:dyDescent="0.25">
      <c r="A285">
        <f>IFERROR(Insumos!A285,"")</f>
      </c>
    </row>
    <row r="286" spans="1:1" x14ac:dyDescent="0.25">
      <c r="A286">
        <f>IFERROR(Insumos!A286,"")</f>
      </c>
    </row>
    <row r="287" spans="1:1" x14ac:dyDescent="0.25">
      <c r="A287">
        <f>IFERROR(Insumos!A287,"")</f>
      </c>
    </row>
    <row r="288" spans="1:1" x14ac:dyDescent="0.25">
      <c r="A288">
        <f>IFERROR(Insumos!A288,"")</f>
      </c>
    </row>
    <row r="289" spans="1:1" x14ac:dyDescent="0.25">
      <c r="A289">
        <f>IFERROR(Insumos!A289,"")</f>
      </c>
    </row>
    <row r="290" spans="1:1" x14ac:dyDescent="0.25">
      <c r="A290">
        <f>IFERROR(Insumos!A290,"")</f>
      </c>
    </row>
    <row r="291" spans="1:1" x14ac:dyDescent="0.25">
      <c r="A291">
        <f>IFERROR(Insumos!A291,"")</f>
      </c>
    </row>
    <row r="292" spans="1:1" x14ac:dyDescent="0.25">
      <c r="A292">
        <f>IFERROR(Insumos!A292,"")</f>
      </c>
    </row>
    <row r="293" spans="1:1" x14ac:dyDescent="0.25">
      <c r="A293">
        <f>IFERROR(Insumos!A293,"")</f>
      </c>
    </row>
    <row r="294" spans="1:1" x14ac:dyDescent="0.25">
      <c r="A294">
        <f>IFERROR(Insumos!A294,"")</f>
      </c>
    </row>
    <row r="295" spans="1:1" x14ac:dyDescent="0.25">
      <c r="A295">
        <f>IFERROR(Insumos!A295,"")</f>
      </c>
    </row>
    <row r="296" spans="1:1" x14ac:dyDescent="0.25">
      <c r="A296">
        <f>IFERROR(Insumos!A296,"")</f>
      </c>
    </row>
    <row r="297" spans="1:1" x14ac:dyDescent="0.25">
      <c r="A297">
        <f>IFERROR(Insumos!A297,"")</f>
      </c>
    </row>
    <row r="298" spans="1:1" x14ac:dyDescent="0.25">
      <c r="A298">
        <f>IFERROR(Insumos!A298,"")</f>
      </c>
    </row>
    <row r="299" spans="1:1" x14ac:dyDescent="0.25">
      <c r="A299">
        <f>IFERROR(Insumos!A299,"")</f>
      </c>
    </row>
    <row r="300" spans="1:1" x14ac:dyDescent="0.25">
      <c r="A300">
        <f>IFERROR(Insumos!A300,"")</f>
      </c>
    </row>
    <row r="301" spans="1:1" x14ac:dyDescent="0.25">
      <c r="A301">
        <f>IFERROR(Insumos!A301,"")</f>
      </c>
    </row>
    <row r="302" spans="1:1" x14ac:dyDescent="0.25">
      <c r="A302">
        <f>IFERROR(Insumos!A302,"")</f>
      </c>
    </row>
    <row r="303" spans="1:1" x14ac:dyDescent="0.25">
      <c r="A303">
        <f>IFERROR(Insumos!A303,"")</f>
      </c>
    </row>
    <row r="304" spans="1:1" x14ac:dyDescent="0.25">
      <c r="A304">
        <f>IFERROR(Insumos!A304,"")</f>
      </c>
    </row>
    <row r="305" spans="1:1" x14ac:dyDescent="0.25">
      <c r="A305">
        <f>IFERROR(Insumos!A305,"")</f>
      </c>
    </row>
    <row r="306" spans="1:1" x14ac:dyDescent="0.25">
      <c r="A306">
        <f>IFERROR(Insumos!A306,"")</f>
      </c>
    </row>
    <row r="307" spans="1:1" x14ac:dyDescent="0.25">
      <c r="A307">
        <f>IFERROR(Insumos!A307,"")</f>
      </c>
    </row>
    <row r="308" spans="1:1" x14ac:dyDescent="0.25">
      <c r="A308">
        <f>IFERROR(Insumos!A308,"")</f>
      </c>
    </row>
    <row r="309" spans="1:1" x14ac:dyDescent="0.25">
      <c r="A309">
        <f>IFERROR(Insumos!A309,"")</f>
      </c>
    </row>
    <row r="310" spans="1:1" x14ac:dyDescent="0.25">
      <c r="A310">
        <f>IFERROR(Insumos!A310,"")</f>
      </c>
    </row>
    <row r="311" spans="1:1" x14ac:dyDescent="0.25">
      <c r="A311">
        <f>IFERROR(Insumos!A311,"")</f>
      </c>
    </row>
    <row r="312" spans="1:1" x14ac:dyDescent="0.25">
      <c r="A312">
        <f>IFERROR(Insumos!A312,"")</f>
      </c>
    </row>
    <row r="313" spans="1:1" x14ac:dyDescent="0.25">
      <c r="A313">
        <f>IFERROR(Insumos!A313,"")</f>
      </c>
    </row>
    <row r="314" spans="1:1" x14ac:dyDescent="0.25">
      <c r="A314">
        <f>IFERROR(Insumos!A314,"")</f>
      </c>
    </row>
    <row r="315" spans="1:1" x14ac:dyDescent="0.25">
      <c r="A315">
        <f>IFERROR(Insumos!A315,"")</f>
      </c>
    </row>
    <row r="316" spans="1:1" x14ac:dyDescent="0.25">
      <c r="A316">
        <f>IFERROR(Insumos!A316,"")</f>
      </c>
    </row>
    <row r="317" spans="1:1" x14ac:dyDescent="0.25">
      <c r="A317">
        <f>IFERROR(Insumos!A317,"")</f>
      </c>
    </row>
    <row r="318" spans="1:1" x14ac:dyDescent="0.25">
      <c r="A318">
        <f>IFERROR(Insumos!A318,"")</f>
      </c>
    </row>
    <row r="319" spans="1:1" x14ac:dyDescent="0.25">
      <c r="A319">
        <f>IFERROR(Insumos!A319,"")</f>
      </c>
    </row>
    <row r="320" spans="1:1" x14ac:dyDescent="0.25">
      <c r="A320">
        <f>IFERROR(Insumos!A320,"")</f>
      </c>
    </row>
    <row r="321" spans="1:1" x14ac:dyDescent="0.25">
      <c r="A321">
        <f>IFERROR(Insumos!A321,"")</f>
      </c>
    </row>
    <row r="322" spans="1:1" x14ac:dyDescent="0.25">
      <c r="A322">
        <f>IFERROR(Insumos!A322,"")</f>
      </c>
    </row>
    <row r="323" spans="1:1" x14ac:dyDescent="0.25">
      <c r="A323">
        <f>IFERROR(Insumos!A323,"")</f>
      </c>
    </row>
    <row r="324" spans="1:1" x14ac:dyDescent="0.25">
      <c r="A324">
        <f>IFERROR(Insumos!A324,"")</f>
      </c>
    </row>
    <row r="325" spans="1:1" x14ac:dyDescent="0.25">
      <c r="A325">
        <f>IFERROR(Insumos!A325,"")</f>
      </c>
    </row>
    <row r="326" spans="1:1" x14ac:dyDescent="0.25">
      <c r="A326">
        <f>IFERROR(Insumos!A326,"")</f>
      </c>
    </row>
    <row r="327" spans="1:1" x14ac:dyDescent="0.25">
      <c r="A327">
        <f>IFERROR(Insumos!A327,"")</f>
      </c>
    </row>
    <row r="328" spans="1:1" x14ac:dyDescent="0.25">
      <c r="A328">
        <f>IFERROR(Insumos!A328,"")</f>
      </c>
    </row>
    <row r="329" spans="1:1" x14ac:dyDescent="0.25">
      <c r="A329">
        <f>IFERROR(Insumos!A329,"")</f>
      </c>
    </row>
    <row r="330" spans="1:1" x14ac:dyDescent="0.25">
      <c r="A330">
        <f>IFERROR(Insumos!A330,"")</f>
      </c>
    </row>
    <row r="331" spans="1:1" x14ac:dyDescent="0.25">
      <c r="A331">
        <f>IFERROR(Insumos!A331,"")</f>
      </c>
    </row>
    <row r="332" spans="1:1" x14ac:dyDescent="0.25">
      <c r="A332">
        <f>IFERROR(Insumos!A332,"")</f>
      </c>
    </row>
    <row r="333" spans="1:1" x14ac:dyDescent="0.25">
      <c r="A333">
        <f>IFERROR(Insumos!A333,"")</f>
      </c>
    </row>
    <row r="334" spans="1:1" x14ac:dyDescent="0.25">
      <c r="A334">
        <f>IFERROR(Insumos!A334,"")</f>
      </c>
    </row>
    <row r="335" spans="1:1" x14ac:dyDescent="0.25">
      <c r="A335">
        <f>IFERROR(Insumos!A335,"")</f>
      </c>
    </row>
    <row r="336" spans="1:1" x14ac:dyDescent="0.25">
      <c r="A336">
        <f>IFERROR(Insumos!A336,"")</f>
      </c>
    </row>
    <row r="337" spans="1:1" x14ac:dyDescent="0.25">
      <c r="A337">
        <f>IFERROR(Insumos!A337,"")</f>
      </c>
    </row>
    <row r="338" spans="1:1" x14ac:dyDescent="0.25">
      <c r="A338">
        <f>IFERROR(Insumos!A338,"")</f>
      </c>
    </row>
    <row r="339" spans="1:1" x14ac:dyDescent="0.25">
      <c r="A339">
        <f>IFERROR(Insumos!A339,"")</f>
      </c>
    </row>
    <row r="340" spans="1:1" x14ac:dyDescent="0.25">
      <c r="A340">
        <f>IFERROR(Insumos!A340,"")</f>
      </c>
    </row>
    <row r="341" spans="1:1" x14ac:dyDescent="0.25">
      <c r="A341">
        <f>IFERROR(Insumos!A341,"")</f>
      </c>
    </row>
    <row r="342" spans="1:1" x14ac:dyDescent="0.25">
      <c r="A342">
        <f>IFERROR(Insumos!A342,"")</f>
      </c>
    </row>
    <row r="343" spans="1:1" x14ac:dyDescent="0.25">
      <c r="A343">
        <f>IFERROR(Insumos!A343,"")</f>
      </c>
    </row>
    <row r="344" spans="1:1" x14ac:dyDescent="0.25">
      <c r="A344">
        <f>IFERROR(Insumos!A344,"")</f>
      </c>
    </row>
    <row r="345" spans="1:1" x14ac:dyDescent="0.25">
      <c r="A345">
        <f>IFERROR(Insumos!A345,"")</f>
      </c>
    </row>
    <row r="346" spans="1:1" x14ac:dyDescent="0.25">
      <c r="A346">
        <f>IFERROR(Insumos!A346,"")</f>
      </c>
    </row>
    <row r="347" spans="1:1" x14ac:dyDescent="0.25">
      <c r="A347">
        <f>IFERROR(Insumos!A347,"")</f>
      </c>
    </row>
    <row r="348" spans="1:1" x14ac:dyDescent="0.25">
      <c r="A348">
        <f>IFERROR(Insumos!A348,"")</f>
      </c>
    </row>
    <row r="349" spans="1:1" x14ac:dyDescent="0.25">
      <c r="A349">
        <f>IFERROR(Insumos!A349,"")</f>
      </c>
    </row>
    <row r="350" spans="1:1" x14ac:dyDescent="0.25">
      <c r="A350">
        <f>IFERROR(Insumos!A350,"")</f>
      </c>
    </row>
    <row r="351" spans="1:1" x14ac:dyDescent="0.25">
      <c r="A351">
        <f>IFERROR(Insumos!A351,"")</f>
      </c>
    </row>
    <row r="352" spans="1:1" x14ac:dyDescent="0.25">
      <c r="A352">
        <f>IFERROR(Insumos!A352,"")</f>
      </c>
    </row>
    <row r="353" spans="1:1" x14ac:dyDescent="0.25">
      <c r="A353">
        <f>IFERROR(Insumos!A353,"")</f>
      </c>
    </row>
    <row r="354" spans="1:1" x14ac:dyDescent="0.25">
      <c r="A354">
        <f>IFERROR(Insumos!A354,"")</f>
      </c>
    </row>
    <row r="355" spans="1:1" x14ac:dyDescent="0.25">
      <c r="A355">
        <f>IFERROR(Insumos!A355,"")</f>
      </c>
    </row>
    <row r="356" spans="1:1" x14ac:dyDescent="0.25">
      <c r="A356">
        <f>IFERROR(Insumos!A356,"")</f>
      </c>
    </row>
    <row r="357" spans="1:1" x14ac:dyDescent="0.25">
      <c r="A357">
        <f>IFERROR(Insumos!A357,"")</f>
      </c>
    </row>
    <row r="358" spans="1:1" x14ac:dyDescent="0.25">
      <c r="A358">
        <f>IFERROR(Insumos!A358,"")</f>
      </c>
    </row>
    <row r="359" spans="1:1" x14ac:dyDescent="0.25">
      <c r="A359">
        <f>IFERROR(Insumos!A359,"")</f>
      </c>
    </row>
    <row r="360" spans="1:1" x14ac:dyDescent="0.25">
      <c r="A360">
        <f>IFERROR(Insumos!A360,"")</f>
      </c>
    </row>
    <row r="361" spans="1:1" x14ac:dyDescent="0.25">
      <c r="A361">
        <f>IFERROR(Insumos!A361,"")</f>
      </c>
    </row>
    <row r="362" spans="1:1" x14ac:dyDescent="0.25">
      <c r="A362">
        <f>IFERROR(Insumos!A362,"")</f>
      </c>
    </row>
    <row r="363" spans="1:1" x14ac:dyDescent="0.25">
      <c r="A363">
        <f>IFERROR(Insumos!A363,"")</f>
      </c>
    </row>
    <row r="364" spans="1:1" x14ac:dyDescent="0.25">
      <c r="A364">
        <f>IFERROR(Insumos!A364,"")</f>
      </c>
    </row>
    <row r="365" spans="1:1" x14ac:dyDescent="0.25">
      <c r="A365">
        <f>IFERROR(Insumos!A365,"")</f>
      </c>
    </row>
    <row r="366" spans="1:1" x14ac:dyDescent="0.25">
      <c r="A366">
        <f>IFERROR(Insumos!A366,"")</f>
      </c>
    </row>
    <row r="367" spans="1:1" x14ac:dyDescent="0.25">
      <c r="A367">
        <f>IFERROR(Insumos!A367,"")</f>
      </c>
    </row>
    <row r="368" spans="1:1" x14ac:dyDescent="0.25">
      <c r="A368">
        <f>IFERROR(Insumos!A368,"")</f>
      </c>
    </row>
    <row r="369" spans="1:1" x14ac:dyDescent="0.25">
      <c r="A369">
        <f>IFERROR(Insumos!A369,"")</f>
      </c>
    </row>
    <row r="370" spans="1:1" x14ac:dyDescent="0.25">
      <c r="A370">
        <f>IFERROR(Insumos!A370,"")</f>
      </c>
    </row>
    <row r="371" spans="1:1" x14ac:dyDescent="0.25">
      <c r="A371">
        <f>IFERROR(Insumos!A371,"")</f>
      </c>
    </row>
    <row r="372" spans="1:1" x14ac:dyDescent="0.25">
      <c r="A372">
        <f>IFERROR(Insumos!A372,"")</f>
      </c>
    </row>
    <row r="373" spans="1:1" x14ac:dyDescent="0.25">
      <c r="A373">
        <f>IFERROR(Insumos!A373,"")</f>
      </c>
    </row>
    <row r="374" spans="1:1" x14ac:dyDescent="0.25">
      <c r="A374">
        <f>IFERROR(Insumos!A374,"")</f>
      </c>
    </row>
    <row r="375" spans="1:1" x14ac:dyDescent="0.25">
      <c r="A375">
        <f>IFERROR(Insumos!A375,"")</f>
      </c>
    </row>
    <row r="376" spans="1:1" x14ac:dyDescent="0.25">
      <c r="A376">
        <f>IFERROR(Insumos!A376,"")</f>
      </c>
    </row>
    <row r="377" spans="1:1" x14ac:dyDescent="0.25">
      <c r="A377">
        <f>IFERROR(Insumos!A377,"")</f>
      </c>
    </row>
    <row r="378" spans="1:1" x14ac:dyDescent="0.25">
      <c r="A378">
        <f>IFERROR(Insumos!A378,"")</f>
      </c>
    </row>
    <row r="379" spans="1:1" x14ac:dyDescent="0.25">
      <c r="A379">
        <f>IFERROR(Insumos!A379,"")</f>
      </c>
    </row>
    <row r="380" spans="1:1" x14ac:dyDescent="0.25">
      <c r="A380">
        <f>IFERROR(Insumos!A380,"")</f>
      </c>
    </row>
    <row r="381" spans="1:1" x14ac:dyDescent="0.25">
      <c r="A381">
        <f>IFERROR(Insumos!A381,"")</f>
      </c>
    </row>
    <row r="382" spans="1:1" x14ac:dyDescent="0.25">
      <c r="A382">
        <f>IFERROR(Insumos!A382,"")</f>
      </c>
    </row>
    <row r="383" spans="1:1" x14ac:dyDescent="0.25">
      <c r="A383">
        <f>IFERROR(Insumos!A383,"")</f>
      </c>
    </row>
    <row r="384" spans="1:1" x14ac:dyDescent="0.25">
      <c r="A384">
        <f>IFERROR(Insumos!A384,"")</f>
      </c>
    </row>
    <row r="385" spans="1:1" x14ac:dyDescent="0.25">
      <c r="A385">
        <f>IFERROR(Insumos!A385,"")</f>
      </c>
    </row>
    <row r="386" spans="1:1" x14ac:dyDescent="0.25">
      <c r="A386">
        <f>IFERROR(Insumos!A386,"")</f>
      </c>
    </row>
    <row r="387" spans="1:1" x14ac:dyDescent="0.25">
      <c r="A387">
        <f>IFERROR(Insumos!A387,"")</f>
      </c>
    </row>
    <row r="388" spans="1:1" x14ac:dyDescent="0.25">
      <c r="A388">
        <f>IFERROR(Insumos!A388,"")</f>
      </c>
    </row>
    <row r="389" spans="1:1" x14ac:dyDescent="0.25">
      <c r="A389">
        <f>IFERROR(Insumos!A389,"")</f>
      </c>
    </row>
    <row r="390" spans="1:1" x14ac:dyDescent="0.25">
      <c r="A390">
        <f>IFERROR(Insumos!A390,"")</f>
      </c>
    </row>
    <row r="391" spans="1:1" x14ac:dyDescent="0.25">
      <c r="A391">
        <f>IFERROR(Insumos!A391,"")</f>
      </c>
    </row>
    <row r="392" spans="1:1" x14ac:dyDescent="0.25">
      <c r="A392">
        <f>IFERROR(Insumos!A392,"")</f>
      </c>
    </row>
    <row r="393" spans="1:1" x14ac:dyDescent="0.25">
      <c r="A393">
        <f>IFERROR(Insumos!A393,"")</f>
      </c>
    </row>
    <row r="394" spans="1:1" x14ac:dyDescent="0.25">
      <c r="A394">
        <f>IFERROR(Insumos!A394,"")</f>
      </c>
    </row>
    <row r="395" spans="1:1" x14ac:dyDescent="0.25">
      <c r="A395">
        <f>IFERROR(Insumos!A395,"")</f>
      </c>
    </row>
    <row r="396" spans="1:1" x14ac:dyDescent="0.25">
      <c r="A396">
        <f>IFERROR(Insumos!A396,"")</f>
      </c>
    </row>
    <row r="397" spans="1:1" x14ac:dyDescent="0.25">
      <c r="A397">
        <f>IFERROR(Insumos!A397,"")</f>
      </c>
    </row>
    <row r="398" spans="1:1" x14ac:dyDescent="0.25">
      <c r="A398">
        <f>IFERROR(Insumos!A398,"")</f>
      </c>
    </row>
    <row r="399" spans="1:1" x14ac:dyDescent="0.25">
      <c r="A399">
        <f>IFERROR(Insumos!A399,"")</f>
      </c>
    </row>
    <row r="400" spans="1:1" x14ac:dyDescent="0.25">
      <c r="A400">
        <f>IFERROR(Insumos!A400,"")</f>
      </c>
    </row>
    <row r="401" spans="1:1" x14ac:dyDescent="0.25">
      <c r="A401">
        <f>IFERROR(Insumos!A401,"")</f>
      </c>
    </row>
    <row r="402" spans="1:1" x14ac:dyDescent="0.25">
      <c r="A402">
        <f>IFERROR(Insumos!A402,"")</f>
      </c>
    </row>
    <row r="403" spans="1:1" x14ac:dyDescent="0.25">
      <c r="A403">
        <f>IFERROR(Insumos!A403,"")</f>
      </c>
    </row>
    <row r="404" spans="1:1" x14ac:dyDescent="0.25">
      <c r="A404">
        <f>IFERROR(Insumos!A404,"")</f>
      </c>
    </row>
    <row r="405" spans="1:1" x14ac:dyDescent="0.25">
      <c r="A405">
        <f>IFERROR(Insumos!A405,"")</f>
      </c>
    </row>
    <row r="406" spans="1:1" x14ac:dyDescent="0.25">
      <c r="A406">
        <f>IFERROR(Insumos!A406,"")</f>
      </c>
    </row>
    <row r="407" spans="1:1" x14ac:dyDescent="0.25">
      <c r="A407">
        <f>IFERROR(Insumos!A407,"")</f>
      </c>
    </row>
    <row r="408" spans="1:1" x14ac:dyDescent="0.25">
      <c r="A408">
        <f>IFERROR(Insumos!A408,"")</f>
      </c>
    </row>
    <row r="409" spans="1:1" x14ac:dyDescent="0.25">
      <c r="A409">
        <f>IFERROR(Insumos!A409,"")</f>
      </c>
    </row>
    <row r="410" spans="1:1" x14ac:dyDescent="0.25">
      <c r="A410">
        <f>IFERROR(Insumos!A410,"")</f>
      </c>
    </row>
    <row r="411" spans="1:1" x14ac:dyDescent="0.25">
      <c r="A411">
        <f>IFERROR(Insumos!A411,"")</f>
      </c>
    </row>
    <row r="412" spans="1:1" x14ac:dyDescent="0.25">
      <c r="A412">
        <f>IFERROR(Insumos!A412,"")</f>
      </c>
    </row>
    <row r="413" spans="1:1" x14ac:dyDescent="0.25">
      <c r="A413">
        <f>IFERROR(Insumos!A413,"")</f>
      </c>
    </row>
    <row r="414" spans="1:1" x14ac:dyDescent="0.25">
      <c r="A414">
        <f>IFERROR(Insumos!A414,"")</f>
      </c>
    </row>
    <row r="415" spans="1:1" x14ac:dyDescent="0.25">
      <c r="A415">
        <f>IFERROR(Insumos!A415,"")</f>
      </c>
    </row>
    <row r="416" spans="1:1" x14ac:dyDescent="0.25">
      <c r="A416">
        <f>IFERROR(Insumos!A416,"")</f>
      </c>
    </row>
    <row r="417" spans="1:1" x14ac:dyDescent="0.25">
      <c r="A417">
        <f>IFERROR(Insumos!A417,"")</f>
      </c>
    </row>
    <row r="418" spans="1:1" x14ac:dyDescent="0.25">
      <c r="A418">
        <f>IFERROR(Insumos!A418,"")</f>
      </c>
    </row>
    <row r="419" spans="1:1" x14ac:dyDescent="0.25">
      <c r="A419">
        <f>IFERROR(Insumos!A419,"")</f>
      </c>
    </row>
    <row r="420" spans="1:1" x14ac:dyDescent="0.25">
      <c r="A420">
        <f>IFERROR(Insumos!A420,"")</f>
      </c>
    </row>
    <row r="421" spans="1:1" x14ac:dyDescent="0.25">
      <c r="A421">
        <f>IFERROR(Insumos!A421,"")</f>
      </c>
    </row>
    <row r="422" spans="1:1" x14ac:dyDescent="0.25">
      <c r="A422">
        <f>IFERROR(Insumos!A422,"")</f>
      </c>
    </row>
    <row r="423" spans="1:1" x14ac:dyDescent="0.25">
      <c r="A423">
        <f>IFERROR(Insumos!A423,"")</f>
      </c>
    </row>
    <row r="424" spans="1:1" x14ac:dyDescent="0.25">
      <c r="A424">
        <f>IFERROR(Insumos!A424,"")</f>
      </c>
    </row>
    <row r="425" spans="1:1" x14ac:dyDescent="0.25">
      <c r="A425">
        <f>IFERROR(Insumos!A425,"")</f>
      </c>
    </row>
    <row r="426" spans="1:1" x14ac:dyDescent="0.25">
      <c r="A426">
        <f>IFERROR(Insumos!A426,"")</f>
      </c>
    </row>
    <row r="427" spans="1:1" x14ac:dyDescent="0.25">
      <c r="A427">
        <f>IFERROR(Insumos!A427,"")</f>
      </c>
    </row>
    <row r="428" spans="1:1" x14ac:dyDescent="0.25">
      <c r="A428">
        <f>IFERROR(Insumos!A428,"")</f>
      </c>
    </row>
    <row r="429" spans="1:1" x14ac:dyDescent="0.25">
      <c r="A429">
        <f>IFERROR(Insumos!A429,"")</f>
      </c>
    </row>
    <row r="430" spans="1:1" x14ac:dyDescent="0.25">
      <c r="A430">
        <f>IFERROR(Insumos!A430,"")</f>
      </c>
    </row>
    <row r="431" spans="1:1" x14ac:dyDescent="0.25">
      <c r="A431">
        <f>IFERROR(Insumos!A431,"")</f>
      </c>
    </row>
    <row r="432" spans="1:1" x14ac:dyDescent="0.25">
      <c r="A432">
        <f>IFERROR(Insumos!A432,"")</f>
      </c>
    </row>
    <row r="433" spans="1:1" x14ac:dyDescent="0.25">
      <c r="A433">
        <f>IFERROR(Insumos!A433,"")</f>
      </c>
    </row>
    <row r="434" spans="1:1" x14ac:dyDescent="0.25">
      <c r="A434">
        <f>IFERROR(Insumos!A434,"")</f>
      </c>
    </row>
    <row r="435" spans="1:1" x14ac:dyDescent="0.25">
      <c r="A435">
        <f>IFERROR(Insumos!A435,"")</f>
      </c>
    </row>
    <row r="436" spans="1:1" x14ac:dyDescent="0.25">
      <c r="A436">
        <f>IFERROR(Insumos!A436,"")</f>
      </c>
    </row>
    <row r="437" spans="1:1" x14ac:dyDescent="0.25">
      <c r="A437">
        <f>IFERROR(Insumos!A437,"")</f>
      </c>
    </row>
    <row r="438" spans="1:1" x14ac:dyDescent="0.25">
      <c r="A438">
        <f>IFERROR(Insumos!A438,"")</f>
      </c>
    </row>
    <row r="439" spans="1:1" x14ac:dyDescent="0.25">
      <c r="A439">
        <f>IFERROR(Insumos!A439,"")</f>
      </c>
    </row>
    <row r="440" spans="1:1" x14ac:dyDescent="0.25">
      <c r="A440">
        <f>IFERROR(Insumos!A440,"")</f>
      </c>
    </row>
    <row r="441" spans="1:1" x14ac:dyDescent="0.25">
      <c r="A441">
        <f>IFERROR(Insumos!A441,"")</f>
      </c>
    </row>
    <row r="442" spans="1:1" x14ac:dyDescent="0.25">
      <c r="A442">
        <f>IFERROR(Insumos!A442,"")</f>
      </c>
    </row>
    <row r="443" spans="1:1" x14ac:dyDescent="0.25">
      <c r="A443">
        <f>IFERROR(Insumos!A443,"")</f>
      </c>
    </row>
    <row r="444" spans="1:1" x14ac:dyDescent="0.25">
      <c r="A444">
        <f>IFERROR(Insumos!A444,"")</f>
      </c>
    </row>
    <row r="445" spans="1:1" x14ac:dyDescent="0.25">
      <c r="A445">
        <f>IFERROR(Insumos!A445,"")</f>
      </c>
    </row>
    <row r="446" spans="1:1" x14ac:dyDescent="0.25">
      <c r="A446">
        <f>IFERROR(Insumos!A446,"")</f>
      </c>
    </row>
    <row r="447" spans="1:1" x14ac:dyDescent="0.25">
      <c r="A447">
        <f>IFERROR(Insumos!A447,"")</f>
      </c>
    </row>
    <row r="448" spans="1:1" x14ac:dyDescent="0.25">
      <c r="A448">
        <f>IFERROR(Insumos!A448,"")</f>
      </c>
    </row>
    <row r="449" spans="1:1" x14ac:dyDescent="0.25">
      <c r="A449">
        <f>IFERROR(Insumos!A449,"")</f>
      </c>
    </row>
    <row r="450" spans="1:1" x14ac:dyDescent="0.25">
      <c r="A450">
        <f>IFERROR(Insumos!A450,"")</f>
      </c>
    </row>
    <row r="451" spans="1:1" x14ac:dyDescent="0.25">
      <c r="A451">
        <f>IFERROR(Insumos!A451,"")</f>
      </c>
    </row>
    <row r="452" spans="1:1" x14ac:dyDescent="0.25">
      <c r="A452">
        <f>IFERROR(Insumos!A452,"")</f>
      </c>
    </row>
    <row r="453" spans="1:1" x14ac:dyDescent="0.25">
      <c r="A453">
        <f>IFERROR(Insumos!A453,"")</f>
      </c>
    </row>
    <row r="454" spans="1:1" x14ac:dyDescent="0.25">
      <c r="A454">
        <f>IFERROR(Insumos!A454,"")</f>
      </c>
    </row>
    <row r="455" spans="1:1" x14ac:dyDescent="0.25">
      <c r="A455">
        <f>IFERROR(Insumos!A455,"")</f>
      </c>
    </row>
    <row r="456" spans="1:1" x14ac:dyDescent="0.25">
      <c r="A456">
        <f>IFERROR(Insumos!A456,"")</f>
      </c>
    </row>
    <row r="457" spans="1:1" x14ac:dyDescent="0.25">
      <c r="A457">
        <f>IFERROR(Insumos!A457,"")</f>
      </c>
    </row>
    <row r="458" spans="1:1" x14ac:dyDescent="0.25">
      <c r="A458">
        <f>IFERROR(Insumos!A458,"")</f>
      </c>
    </row>
    <row r="459" spans="1:1" x14ac:dyDescent="0.25">
      <c r="A459">
        <f>IFERROR(Insumos!A459,"")</f>
      </c>
    </row>
    <row r="460" spans="1:1" x14ac:dyDescent="0.25">
      <c r="A460">
        <f>IFERROR(Insumos!A460,"")</f>
      </c>
    </row>
    <row r="461" spans="1:1" x14ac:dyDescent="0.25">
      <c r="A461">
        <f>IFERROR(Insumos!A461,"")</f>
      </c>
    </row>
    <row r="462" spans="1:1" x14ac:dyDescent="0.25">
      <c r="A462">
        <f>IFERROR(Insumos!A462,"")</f>
      </c>
    </row>
    <row r="463" spans="1:1" x14ac:dyDescent="0.25">
      <c r="A463">
        <f>IFERROR(Insumos!A463,"")</f>
      </c>
    </row>
    <row r="464" spans="1:1" x14ac:dyDescent="0.25">
      <c r="A464">
        <f>IFERROR(Insumos!A464,"")</f>
      </c>
    </row>
    <row r="465" spans="1:1" x14ac:dyDescent="0.25">
      <c r="A465">
        <f>IFERROR(Insumos!A465,"")</f>
      </c>
    </row>
    <row r="466" spans="1:1" x14ac:dyDescent="0.25">
      <c r="A466">
        <f>IFERROR(Insumos!A466,"")</f>
      </c>
    </row>
    <row r="467" spans="1:1" x14ac:dyDescent="0.25">
      <c r="A467">
        <f>IFERROR(Insumos!A467,"")</f>
      </c>
    </row>
    <row r="468" spans="1:1" x14ac:dyDescent="0.25">
      <c r="A468">
        <f>IFERROR(Insumos!A468,"")</f>
      </c>
    </row>
    <row r="469" spans="1:1" x14ac:dyDescent="0.25">
      <c r="A469">
        <f>IFERROR(Insumos!A469,"")</f>
      </c>
    </row>
    <row r="470" spans="1:1" x14ac:dyDescent="0.25">
      <c r="A470">
        <f>IFERROR(Insumos!A470,"")</f>
      </c>
    </row>
    <row r="471" spans="1:1" x14ac:dyDescent="0.25">
      <c r="A471">
        <f>IFERROR(Insumos!A471,"")</f>
      </c>
    </row>
    <row r="472" spans="1:1" x14ac:dyDescent="0.25">
      <c r="A472">
        <f>IFERROR(Insumos!A472,"")</f>
      </c>
    </row>
    <row r="473" spans="1:1" x14ac:dyDescent="0.25">
      <c r="A473">
        <f>IFERROR(Insumos!A473,"")</f>
      </c>
    </row>
    <row r="474" spans="1:1" x14ac:dyDescent="0.25">
      <c r="A474">
        <f>IFERROR(Insumos!A474,"")</f>
      </c>
    </row>
    <row r="475" spans="1:1" x14ac:dyDescent="0.25">
      <c r="A475">
        <f>IFERROR(Insumos!A475,"")</f>
      </c>
    </row>
    <row r="476" spans="1:1" x14ac:dyDescent="0.25">
      <c r="A476">
        <f>IFERROR(Insumos!A476,"")</f>
      </c>
    </row>
    <row r="477" spans="1:1" x14ac:dyDescent="0.25">
      <c r="A477">
        <f>IFERROR(Insumos!A477,"")</f>
      </c>
    </row>
    <row r="478" spans="1:1" x14ac:dyDescent="0.25">
      <c r="A478">
        <f>IFERROR(Insumos!A478,"")</f>
      </c>
    </row>
    <row r="479" spans="1:1" x14ac:dyDescent="0.25">
      <c r="A479">
        <f>IFERROR(Insumos!A479,"")</f>
      </c>
    </row>
    <row r="480" spans="1:1" x14ac:dyDescent="0.25">
      <c r="A480">
        <f>IFERROR(Insumos!A480,"")</f>
      </c>
    </row>
    <row r="481" spans="1:1" x14ac:dyDescent="0.25">
      <c r="A481">
        <f>IFERROR(Insumos!A481,"")</f>
      </c>
    </row>
    <row r="482" spans="1:1" x14ac:dyDescent="0.25">
      <c r="A482">
        <f>IFERROR(Insumos!A482,"")</f>
      </c>
    </row>
    <row r="483" spans="1:1" x14ac:dyDescent="0.25">
      <c r="A483">
        <f>IFERROR(Insumos!A483,"")</f>
      </c>
    </row>
    <row r="484" spans="1:1" x14ac:dyDescent="0.25">
      <c r="A484">
        <f>IFERROR(Insumos!A484,"")</f>
      </c>
    </row>
    <row r="485" spans="1:1" x14ac:dyDescent="0.25">
      <c r="A485">
        <f>IFERROR(Insumos!A485,"")</f>
      </c>
    </row>
    <row r="486" spans="1:1" x14ac:dyDescent="0.25">
      <c r="A486">
        <f>IFERROR(Insumos!A486,"")</f>
      </c>
    </row>
    <row r="487" spans="1:1" x14ac:dyDescent="0.25">
      <c r="A487">
        <f>IFERROR(Insumos!A487,"")</f>
      </c>
    </row>
    <row r="488" spans="1:1" x14ac:dyDescent="0.25">
      <c r="A488">
        <f>IFERROR(Insumos!A488,"")</f>
      </c>
    </row>
    <row r="489" spans="1:1" x14ac:dyDescent="0.25">
      <c r="A489">
        <f>IFERROR(Insumos!A489,"")</f>
      </c>
    </row>
    <row r="490" spans="1:1" x14ac:dyDescent="0.25">
      <c r="A490">
        <f>IFERROR(Insumos!A490,"")</f>
      </c>
    </row>
    <row r="491" spans="1:1" x14ac:dyDescent="0.25">
      <c r="A491">
        <f>IFERROR(Insumos!A491,"")</f>
      </c>
    </row>
    <row r="492" spans="1:1" x14ac:dyDescent="0.25">
      <c r="A492">
        <f>IFERROR(Insumos!A492,"")</f>
      </c>
    </row>
    <row r="493" spans="1:1" x14ac:dyDescent="0.25">
      <c r="A493">
        <f>IFERROR(Insumos!A493,"")</f>
      </c>
    </row>
    <row r="494" spans="1:1" x14ac:dyDescent="0.25">
      <c r="A494">
        <f>IFERROR(Insumos!A494,"")</f>
      </c>
    </row>
    <row r="495" spans="1:1" x14ac:dyDescent="0.25">
      <c r="A495">
        <f>IFERROR(Insumos!A495,"")</f>
      </c>
    </row>
    <row r="496" spans="1:1" x14ac:dyDescent="0.25">
      <c r="A496">
        <f>IFERROR(Insumos!A496,"")</f>
      </c>
    </row>
    <row r="497" spans="1:1" x14ac:dyDescent="0.25">
      <c r="A497">
        <f>IFERROR(Insumos!A497,"")</f>
      </c>
    </row>
    <row r="498" spans="1:1" x14ac:dyDescent="0.25">
      <c r="A498">
        <f>IFERROR(Insumos!A498,"")</f>
      </c>
    </row>
    <row r="499" spans="1:1" x14ac:dyDescent="0.25">
      <c r="A499">
        <f>IFERROR(Insumos!A499,"")</f>
      </c>
    </row>
    <row r="500" spans="1:1" x14ac:dyDescent="0.25">
      <c r="A500">
        <f>IFERROR(Insumos!A500,"")</f>
      </c>
    </row>
    <row r="501" spans="1:1" x14ac:dyDescent="0.25">
      <c r="A501">
        <f>IFERROR(Preparos!A2,"")</f>
      </c>
    </row>
    <row r="502" spans="1:1" x14ac:dyDescent="0.25">
      <c r="A502">
        <f>IFERROR(Preparos!A3,"")</f>
      </c>
    </row>
    <row r="503" spans="1:1" x14ac:dyDescent="0.25">
      <c r="A503">
        <f>IFERROR(Preparos!A4,"")</f>
      </c>
    </row>
    <row r="504" spans="1:1" x14ac:dyDescent="0.25">
      <c r="A504">
        <f>IFERROR(Preparos!A5,"")</f>
      </c>
    </row>
    <row r="505" spans="1:1" x14ac:dyDescent="0.25">
      <c r="A505">
        <f>IFERROR(Preparos!A6,"")</f>
      </c>
    </row>
    <row r="506" spans="1:1" x14ac:dyDescent="0.25">
      <c r="A506">
        <f>IFERROR(Preparos!A7,"")</f>
      </c>
    </row>
    <row r="507" spans="1:1" x14ac:dyDescent="0.25">
      <c r="A507">
        <f>IFERROR(Preparos!A8,"")</f>
      </c>
    </row>
    <row r="508" spans="1:1" x14ac:dyDescent="0.25">
      <c r="A508">
        <f>IFERROR(Preparos!A9,"")</f>
      </c>
    </row>
    <row r="509" spans="1:1" x14ac:dyDescent="0.25">
      <c r="A509">
        <f>IFERROR(Preparos!A10,"")</f>
      </c>
    </row>
    <row r="510" spans="1:1" x14ac:dyDescent="0.25">
      <c r="A510">
        <f>IFERROR(Preparos!A11,"")</f>
      </c>
    </row>
    <row r="511" spans="1:1" x14ac:dyDescent="0.25">
      <c r="A511">
        <f>IFERROR(Preparos!A12,"")</f>
      </c>
    </row>
    <row r="512" spans="1:1" x14ac:dyDescent="0.25">
      <c r="A512">
        <f>IFERROR(Preparos!A13,"")</f>
      </c>
    </row>
    <row r="513" spans="1:1" x14ac:dyDescent="0.25">
      <c r="A513">
        <f>IFERROR(Preparos!A14,"")</f>
      </c>
    </row>
    <row r="514" spans="1:1" x14ac:dyDescent="0.25">
      <c r="A514">
        <f>IFERROR(Preparos!A15,"")</f>
      </c>
    </row>
    <row r="515" spans="1:1" x14ac:dyDescent="0.25">
      <c r="A515">
        <f>IFERROR(Preparos!A16,"")</f>
      </c>
    </row>
    <row r="516" spans="1:1" x14ac:dyDescent="0.25">
      <c r="A516">
        <f>IFERROR(Preparos!A17,"")</f>
      </c>
    </row>
    <row r="517" spans="1:1" x14ac:dyDescent="0.25">
      <c r="A517">
        <f>IFERROR(Preparos!A18,"")</f>
      </c>
    </row>
    <row r="518" spans="1:1" x14ac:dyDescent="0.25">
      <c r="A518">
        <f>IFERROR(Preparos!A19,"")</f>
      </c>
    </row>
    <row r="519" spans="1:1" x14ac:dyDescent="0.25">
      <c r="A519">
        <f>IFERROR(Preparos!A20,"")</f>
      </c>
    </row>
    <row r="520" spans="1:1" x14ac:dyDescent="0.25">
      <c r="A520">
        <f>IFERROR(Preparos!A21,"")</f>
      </c>
    </row>
    <row r="521" spans="1:1" x14ac:dyDescent="0.25">
      <c r="A521">
        <f>IFERROR(Preparos!A22,"")</f>
      </c>
    </row>
    <row r="522" spans="1:1" x14ac:dyDescent="0.25">
      <c r="A522">
        <f>IFERROR(Preparos!A23,"")</f>
      </c>
    </row>
    <row r="523" spans="1:1" x14ac:dyDescent="0.25">
      <c r="A523">
        <f>IFERROR(Preparos!A24,"")</f>
      </c>
    </row>
    <row r="524" spans="1:1" x14ac:dyDescent="0.25">
      <c r="A524">
        <f>IFERROR(Preparos!A25,"")</f>
      </c>
    </row>
    <row r="525" spans="1:1" x14ac:dyDescent="0.25">
      <c r="A525">
        <f>IFERROR(Preparos!A26,"")</f>
      </c>
    </row>
    <row r="526" spans="1:1" x14ac:dyDescent="0.25">
      <c r="A526">
        <f>IFERROR(Preparos!A27,"")</f>
      </c>
    </row>
    <row r="527" spans="1:1" x14ac:dyDescent="0.25">
      <c r="A527">
        <f>IFERROR(Preparos!A28,"")</f>
      </c>
    </row>
    <row r="528" spans="1:1" x14ac:dyDescent="0.25">
      <c r="A528">
        <f>IFERROR(Preparos!A29,"")</f>
      </c>
    </row>
    <row r="529" spans="1:1" x14ac:dyDescent="0.25">
      <c r="A529">
        <f>IFERROR(Preparos!A30,"")</f>
      </c>
    </row>
    <row r="530" spans="1:1" x14ac:dyDescent="0.25">
      <c r="A530">
        <f>IFERROR(Preparos!A31,"")</f>
      </c>
    </row>
    <row r="531" spans="1:1" x14ac:dyDescent="0.25">
      <c r="A531">
        <f>IFERROR(Preparos!A32,"")</f>
      </c>
    </row>
    <row r="532" spans="1:1" x14ac:dyDescent="0.25">
      <c r="A532">
        <f>IFERROR(Preparos!A33,"")</f>
      </c>
    </row>
    <row r="533" spans="1:1" x14ac:dyDescent="0.25">
      <c r="A533">
        <f>IFERROR(Preparos!A34,"")</f>
      </c>
    </row>
    <row r="534" spans="1:1" x14ac:dyDescent="0.25">
      <c r="A534">
        <f>IFERROR(Preparos!A35,"")</f>
      </c>
    </row>
    <row r="535" spans="1:1" x14ac:dyDescent="0.25">
      <c r="A535">
        <f>IFERROR(Preparos!A36,"")</f>
      </c>
    </row>
    <row r="536" spans="1:1" x14ac:dyDescent="0.25">
      <c r="A536">
        <f>IFERROR(Preparos!A37,"")</f>
      </c>
    </row>
    <row r="537" spans="1:1" x14ac:dyDescent="0.25">
      <c r="A537">
        <f>IFERROR(Preparos!A38,"")</f>
      </c>
    </row>
    <row r="538" spans="1:1" x14ac:dyDescent="0.25">
      <c r="A538">
        <f>IFERROR(Preparos!A39,"")</f>
      </c>
    </row>
    <row r="539" spans="1:1" x14ac:dyDescent="0.25">
      <c r="A539">
        <f>IFERROR(Preparos!A40,"")</f>
      </c>
    </row>
    <row r="540" spans="1:1" x14ac:dyDescent="0.25">
      <c r="A540">
        <f>IFERROR(Preparos!A41,"")</f>
      </c>
    </row>
    <row r="541" spans="1:1" x14ac:dyDescent="0.25">
      <c r="A541">
        <f>IFERROR(Preparos!A42,"")</f>
      </c>
    </row>
    <row r="542" spans="1:1" x14ac:dyDescent="0.25">
      <c r="A542">
        <f>IFERROR(Preparos!A43,"")</f>
      </c>
    </row>
    <row r="543" spans="1:1" x14ac:dyDescent="0.25">
      <c r="A543">
        <f>IFERROR(Preparos!A44,"")</f>
      </c>
    </row>
    <row r="544" spans="1:1" x14ac:dyDescent="0.25">
      <c r="A544">
        <f>IFERROR(Preparos!A45,"")</f>
      </c>
    </row>
    <row r="545" spans="1:1" x14ac:dyDescent="0.25">
      <c r="A545">
        <f>IFERROR(Preparos!A46,"")</f>
      </c>
    </row>
    <row r="546" spans="1:1" x14ac:dyDescent="0.25">
      <c r="A546">
        <f>IFERROR(Preparos!A47,"")</f>
      </c>
    </row>
    <row r="547" spans="1:1" x14ac:dyDescent="0.25">
      <c r="A547">
        <f>IFERROR(Preparos!A48,"")</f>
      </c>
    </row>
    <row r="548" spans="1:1" x14ac:dyDescent="0.25">
      <c r="A548">
        <f>IFERROR(Preparos!A49,"")</f>
      </c>
    </row>
    <row r="549" spans="1:1" x14ac:dyDescent="0.25">
      <c r="A549">
        <f>IFERROR(Preparos!A50,"")</f>
      </c>
    </row>
    <row r="550" spans="1:1" x14ac:dyDescent="0.25">
      <c r="A550">
        <f>IFERROR(Preparos!A51,"")</f>
      </c>
    </row>
    <row r="551" spans="1:1" x14ac:dyDescent="0.25">
      <c r="A551">
        <f>IFERROR(Preparos!A52,"")</f>
      </c>
    </row>
    <row r="552" spans="1:1" x14ac:dyDescent="0.25">
      <c r="A552">
        <f>IFERROR(Preparos!A53,"")</f>
      </c>
    </row>
    <row r="553" spans="1:1" x14ac:dyDescent="0.25">
      <c r="A553">
        <f>IFERROR(Preparos!A54,"")</f>
      </c>
    </row>
    <row r="554" spans="1:1" x14ac:dyDescent="0.25">
      <c r="A554">
        <f>IFERROR(Preparos!A55,"")</f>
      </c>
    </row>
    <row r="555" spans="1:1" x14ac:dyDescent="0.25">
      <c r="A555">
        <f>IFERROR(Preparos!A56,"")</f>
      </c>
    </row>
    <row r="556" spans="1:1" x14ac:dyDescent="0.25">
      <c r="A556">
        <f>IFERROR(Preparos!A57,"")</f>
      </c>
    </row>
    <row r="557" spans="1:1" x14ac:dyDescent="0.25">
      <c r="A557">
        <f>IFERROR(Preparos!A58,"")</f>
      </c>
    </row>
    <row r="558" spans="1:1" x14ac:dyDescent="0.25">
      <c r="A558">
        <f>IFERROR(Preparos!A59,"")</f>
      </c>
    </row>
    <row r="559" spans="1:1" x14ac:dyDescent="0.25">
      <c r="A559">
        <f>IFERROR(Preparos!A60,"")</f>
      </c>
    </row>
    <row r="560" spans="1:1" x14ac:dyDescent="0.25">
      <c r="A560">
        <f>IFERROR(Preparos!A61,"")</f>
      </c>
    </row>
    <row r="561" spans="1:1" x14ac:dyDescent="0.25">
      <c r="A561">
        <f>IFERROR(Preparos!A62,"")</f>
      </c>
    </row>
    <row r="562" spans="1:1" x14ac:dyDescent="0.25">
      <c r="A562">
        <f>IFERROR(Preparos!A63,"")</f>
      </c>
    </row>
    <row r="563" spans="1:1" x14ac:dyDescent="0.25">
      <c r="A563">
        <f>IFERROR(Preparos!A64,"")</f>
      </c>
    </row>
    <row r="564" spans="1:1" x14ac:dyDescent="0.25">
      <c r="A564">
        <f>IFERROR(Preparos!A65,"")</f>
      </c>
    </row>
    <row r="565" spans="1:1" x14ac:dyDescent="0.25">
      <c r="A565">
        <f>IFERROR(Preparos!A66,"")</f>
      </c>
    </row>
    <row r="566" spans="1:1" x14ac:dyDescent="0.25">
      <c r="A566">
        <f>IFERROR(Preparos!A67,"")</f>
      </c>
    </row>
    <row r="567" spans="1:1" x14ac:dyDescent="0.25">
      <c r="A567">
        <f>IFERROR(Preparos!A68,"")</f>
      </c>
    </row>
    <row r="568" spans="1:1" x14ac:dyDescent="0.25">
      <c r="A568">
        <f>IFERROR(Preparos!A69,"")</f>
      </c>
    </row>
    <row r="569" spans="1:1" x14ac:dyDescent="0.25">
      <c r="A569">
        <f>IFERROR(Preparos!A70,"")</f>
      </c>
    </row>
    <row r="570" spans="1:1" x14ac:dyDescent="0.25">
      <c r="A570">
        <f>IFERROR(Preparos!A71,"")</f>
      </c>
    </row>
    <row r="571" spans="1:1" x14ac:dyDescent="0.25">
      <c r="A571">
        <f>IFERROR(Preparos!A72,"")</f>
      </c>
    </row>
    <row r="572" spans="1:1" x14ac:dyDescent="0.25">
      <c r="A572">
        <f>IFERROR(Preparos!A73,"")</f>
      </c>
    </row>
    <row r="573" spans="1:1" x14ac:dyDescent="0.25">
      <c r="A573">
        <f>IFERROR(Preparos!A74,"")</f>
      </c>
    </row>
    <row r="574" spans="1:1" x14ac:dyDescent="0.25">
      <c r="A574">
        <f>IFERROR(Preparos!A75,"")</f>
      </c>
    </row>
    <row r="575" spans="1:1" x14ac:dyDescent="0.25">
      <c r="A575">
        <f>IFERROR(Preparos!A76,"")</f>
      </c>
    </row>
    <row r="576" spans="1:1" x14ac:dyDescent="0.25">
      <c r="A576">
        <f>IFERROR(Preparos!A77,"")</f>
      </c>
    </row>
    <row r="577" spans="1:1" x14ac:dyDescent="0.25">
      <c r="A577">
        <f>IFERROR(Preparos!A78,"")</f>
      </c>
    </row>
    <row r="578" spans="1:1" x14ac:dyDescent="0.25">
      <c r="A578">
        <f>IFERROR(Preparos!A79,"")</f>
      </c>
    </row>
    <row r="579" spans="1:1" x14ac:dyDescent="0.25">
      <c r="A579">
        <f>IFERROR(Preparos!A80,"")</f>
      </c>
    </row>
    <row r="580" spans="1:1" x14ac:dyDescent="0.25">
      <c r="A580">
        <f>IFERROR(Preparos!A81,"")</f>
      </c>
    </row>
    <row r="581" spans="1:1" x14ac:dyDescent="0.25">
      <c r="A581">
        <f>IFERROR(Preparos!A82,"")</f>
      </c>
    </row>
    <row r="582" spans="1:1" x14ac:dyDescent="0.25">
      <c r="A582">
        <f>IFERROR(Preparos!A83,"")</f>
      </c>
    </row>
    <row r="583" spans="1:1" x14ac:dyDescent="0.25">
      <c r="A583">
        <f>IFERROR(Preparos!A84,"")</f>
      </c>
    </row>
    <row r="584" spans="1:1" x14ac:dyDescent="0.25">
      <c r="A584">
        <f>IFERROR(Preparos!A85,"")</f>
      </c>
    </row>
    <row r="585" spans="1:1" x14ac:dyDescent="0.25">
      <c r="A585">
        <f>IFERROR(Preparos!A86,"")</f>
      </c>
    </row>
    <row r="586" spans="1:1" x14ac:dyDescent="0.25">
      <c r="A586">
        <f>IFERROR(Preparos!A87,"")</f>
      </c>
    </row>
    <row r="587" spans="1:1" x14ac:dyDescent="0.25">
      <c r="A587">
        <f>IFERROR(Preparos!A88,"")</f>
      </c>
    </row>
    <row r="588" spans="1:1" x14ac:dyDescent="0.25">
      <c r="A588">
        <f>IFERROR(Preparos!A89,"")</f>
      </c>
    </row>
    <row r="589" spans="1:1" x14ac:dyDescent="0.25">
      <c r="A589">
        <f>IFERROR(Preparos!A90,"")</f>
      </c>
    </row>
    <row r="590" spans="1:1" x14ac:dyDescent="0.25">
      <c r="A590">
        <f>IFERROR(Preparos!A91,"")</f>
      </c>
    </row>
    <row r="591" spans="1:1" x14ac:dyDescent="0.25">
      <c r="A591">
        <f>IFERROR(Preparos!A92,"")</f>
      </c>
    </row>
    <row r="592" spans="1:1" x14ac:dyDescent="0.25">
      <c r="A592">
        <f>IFERROR(Preparos!A93,"")</f>
      </c>
    </row>
    <row r="593" spans="1:1" x14ac:dyDescent="0.25">
      <c r="A593">
        <f>IFERROR(Preparos!A94,"")</f>
      </c>
    </row>
    <row r="594" spans="1:1" x14ac:dyDescent="0.25">
      <c r="A594">
        <f>IFERROR(Preparos!A95,"")</f>
      </c>
    </row>
    <row r="595" spans="1:1" x14ac:dyDescent="0.25">
      <c r="A595">
        <f>IFERROR(Preparos!A96,"")</f>
      </c>
    </row>
    <row r="596" spans="1:1" x14ac:dyDescent="0.25">
      <c r="A596">
        <f>IFERROR(Preparos!A97,"")</f>
      </c>
    </row>
    <row r="597" spans="1:1" x14ac:dyDescent="0.25">
      <c r="A597">
        <f>IFERROR(Preparos!A98,"")</f>
      </c>
    </row>
    <row r="598" spans="1:1" x14ac:dyDescent="0.25">
      <c r="A598">
        <f>IFERROR(Preparos!A99,"")</f>
      </c>
    </row>
    <row r="599" spans="1:1" x14ac:dyDescent="0.25">
      <c r="A599">
        <f>IFERROR(Preparos!A100,"")</f>
      </c>
    </row>
    <row r="600" spans="1:1" x14ac:dyDescent="0.25">
      <c r="A600">
        <f>IFERROR(Preparos!A101,"")</f>
      </c>
    </row>
    <row r="601" spans="1:1" x14ac:dyDescent="0.25">
      <c r="A601">
        <f>IFERROR(Preparos!A102,"")</f>
      </c>
    </row>
    <row r="602" spans="1:1" x14ac:dyDescent="0.25">
      <c r="A602">
        <f>IFERROR(Preparos!A103,"")</f>
      </c>
    </row>
    <row r="603" spans="1:1" x14ac:dyDescent="0.25">
      <c r="A603">
        <f>IFERROR(Preparos!A104,"")</f>
      </c>
    </row>
    <row r="604" spans="1:1" x14ac:dyDescent="0.25">
      <c r="A604">
        <f>IFERROR(Preparos!A105,"")</f>
      </c>
    </row>
    <row r="605" spans="1:1" x14ac:dyDescent="0.25">
      <c r="A605">
        <f>IFERROR(Preparos!A106,"")</f>
      </c>
    </row>
    <row r="606" spans="1:1" x14ac:dyDescent="0.25">
      <c r="A606">
        <f>IFERROR(Preparos!A107,"")</f>
      </c>
    </row>
    <row r="607" spans="1:1" x14ac:dyDescent="0.25">
      <c r="A607">
        <f>IFERROR(Preparos!A108,"")</f>
      </c>
    </row>
    <row r="608" spans="1:1" x14ac:dyDescent="0.25">
      <c r="A608">
        <f>IFERROR(Preparos!A109,"")</f>
      </c>
    </row>
    <row r="609" spans="1:1" x14ac:dyDescent="0.25">
      <c r="A609">
        <f>IFERROR(Preparos!A110,"")</f>
      </c>
    </row>
    <row r="610" spans="1:1" x14ac:dyDescent="0.25">
      <c r="A610">
        <f>IFERROR(Preparos!A111,"")</f>
      </c>
    </row>
    <row r="611" spans="1:1" x14ac:dyDescent="0.25">
      <c r="A611">
        <f>IFERROR(Preparos!A112,"")</f>
      </c>
    </row>
    <row r="612" spans="1:1" x14ac:dyDescent="0.25">
      <c r="A612">
        <f>IFERROR(Preparos!A113,"")</f>
      </c>
    </row>
    <row r="613" spans="1:1" x14ac:dyDescent="0.25">
      <c r="A613">
        <f>IFERROR(Preparos!A114,"")</f>
      </c>
    </row>
    <row r="614" spans="1:1" x14ac:dyDescent="0.25">
      <c r="A614">
        <f>IFERROR(Preparos!A115,"")</f>
      </c>
    </row>
    <row r="615" spans="1:1" x14ac:dyDescent="0.25">
      <c r="A615">
        <f>IFERROR(Preparos!A116,"")</f>
      </c>
    </row>
    <row r="616" spans="1:1" x14ac:dyDescent="0.25">
      <c r="A616">
        <f>IFERROR(Preparos!A117,"")</f>
      </c>
    </row>
    <row r="617" spans="1:1" x14ac:dyDescent="0.25">
      <c r="A617">
        <f>IFERROR(Preparos!A118,"")</f>
      </c>
    </row>
    <row r="618" spans="1:1" x14ac:dyDescent="0.25">
      <c r="A618">
        <f>IFERROR(Preparos!A119,"")</f>
      </c>
    </row>
    <row r="619" spans="1:1" x14ac:dyDescent="0.25">
      <c r="A619">
        <f>IFERROR(Preparos!A120,"")</f>
      </c>
    </row>
    <row r="620" spans="1:1" x14ac:dyDescent="0.25">
      <c r="A620">
        <f>IFERROR(Preparos!A121,"")</f>
      </c>
    </row>
    <row r="621" spans="1:1" x14ac:dyDescent="0.25">
      <c r="A621">
        <f>IFERROR(Preparos!A122,"")</f>
      </c>
    </row>
    <row r="622" spans="1:1" x14ac:dyDescent="0.25">
      <c r="A622">
        <f>IFERROR(Preparos!A123,"")</f>
      </c>
    </row>
    <row r="623" spans="1:1" x14ac:dyDescent="0.25">
      <c r="A623">
        <f>IFERROR(Preparos!A124,"")</f>
      </c>
    </row>
    <row r="624" spans="1:1" x14ac:dyDescent="0.25">
      <c r="A624">
        <f>IFERROR(Preparos!A125,"")</f>
      </c>
    </row>
    <row r="625" spans="1:1" x14ac:dyDescent="0.25">
      <c r="A625">
        <f>IFERROR(Preparos!A126,"")</f>
      </c>
    </row>
    <row r="626" spans="1:1" x14ac:dyDescent="0.25">
      <c r="A626">
        <f>IFERROR(Preparos!A127,"")</f>
      </c>
    </row>
    <row r="627" spans="1:1" x14ac:dyDescent="0.25">
      <c r="A627">
        <f>IFERROR(Preparos!A128,"")</f>
      </c>
    </row>
    <row r="628" spans="1:1" x14ac:dyDescent="0.25">
      <c r="A628">
        <f>IFERROR(Preparos!A129,"")</f>
      </c>
    </row>
    <row r="629" spans="1:1" x14ac:dyDescent="0.25">
      <c r="A629">
        <f>IFERROR(Preparos!A130,"")</f>
      </c>
    </row>
    <row r="630" spans="1:1" x14ac:dyDescent="0.25">
      <c r="A630">
        <f>IFERROR(Preparos!A131,"")</f>
      </c>
    </row>
    <row r="631" spans="1:1" x14ac:dyDescent="0.25">
      <c r="A631">
        <f>IFERROR(Preparos!A132,"")</f>
      </c>
    </row>
    <row r="632" spans="1:1" x14ac:dyDescent="0.25">
      <c r="A632">
        <f>IFERROR(Preparos!A133,"")</f>
      </c>
    </row>
    <row r="633" spans="1:1" x14ac:dyDescent="0.25">
      <c r="A633">
        <f>IFERROR(Preparos!A134,"")</f>
      </c>
    </row>
    <row r="634" spans="1:1" x14ac:dyDescent="0.25">
      <c r="A634">
        <f>IFERROR(Preparos!A135,"")</f>
      </c>
    </row>
    <row r="635" spans="1:1" x14ac:dyDescent="0.25">
      <c r="A635">
        <f>IFERROR(Preparos!A136,"")</f>
      </c>
    </row>
    <row r="636" spans="1:1" x14ac:dyDescent="0.25">
      <c r="A636">
        <f>IFERROR(Preparos!A137,"")</f>
      </c>
    </row>
    <row r="637" spans="1:1" x14ac:dyDescent="0.25">
      <c r="A637">
        <f>IFERROR(Preparos!A138,"")</f>
      </c>
    </row>
    <row r="638" spans="1:1" x14ac:dyDescent="0.25">
      <c r="A638">
        <f>IFERROR(Preparos!A139,"")</f>
      </c>
    </row>
    <row r="639" spans="1:1" x14ac:dyDescent="0.25">
      <c r="A639">
        <f>IFERROR(Preparos!A140,"")</f>
      </c>
    </row>
    <row r="640" spans="1:1" x14ac:dyDescent="0.25">
      <c r="A640">
        <f>IFERROR(Preparos!A141,"")</f>
      </c>
    </row>
    <row r="641" spans="1:1" x14ac:dyDescent="0.25">
      <c r="A641">
        <f>IFERROR(Preparos!A142,"")</f>
      </c>
    </row>
    <row r="642" spans="1:1" x14ac:dyDescent="0.25">
      <c r="A642">
        <f>IFERROR(Preparos!A143,"")</f>
      </c>
    </row>
    <row r="643" spans="1:1" x14ac:dyDescent="0.25">
      <c r="A643">
        <f>IFERROR(Preparos!A144,"")</f>
      </c>
    </row>
    <row r="644" spans="1:1" x14ac:dyDescent="0.25">
      <c r="A644">
        <f>IFERROR(Preparos!A145,"")</f>
      </c>
    </row>
    <row r="645" spans="1:1" x14ac:dyDescent="0.25">
      <c r="A645">
        <f>IFERROR(Preparos!A146,"")</f>
      </c>
    </row>
    <row r="646" spans="1:1" x14ac:dyDescent="0.25">
      <c r="A646">
        <f>IFERROR(Preparos!A147,"")</f>
      </c>
    </row>
    <row r="647" spans="1:1" x14ac:dyDescent="0.25">
      <c r="A647">
        <f>IFERROR(Preparos!A148,"")</f>
      </c>
    </row>
    <row r="648" spans="1:1" x14ac:dyDescent="0.25">
      <c r="A648">
        <f>IFERROR(Preparos!A149,"")</f>
      </c>
    </row>
    <row r="649" spans="1:1" x14ac:dyDescent="0.25">
      <c r="A649">
        <f>IFERROR(Preparos!A150,"")</f>
      </c>
    </row>
    <row r="650" spans="1:1" x14ac:dyDescent="0.25">
      <c r="A650">
        <f>IFERROR(Preparos!A151,"")</f>
      </c>
    </row>
    <row r="651" spans="1:1" x14ac:dyDescent="0.25">
      <c r="A651">
        <f>IFERROR(Preparos!A152,"")</f>
      </c>
    </row>
    <row r="652" spans="1:1" x14ac:dyDescent="0.25">
      <c r="A652">
        <f>IFERROR(Preparos!A153,"")</f>
      </c>
    </row>
    <row r="653" spans="1:1" x14ac:dyDescent="0.25">
      <c r="A653">
        <f>IFERROR(Preparos!A154,"")</f>
      </c>
    </row>
    <row r="654" spans="1:1" x14ac:dyDescent="0.25">
      <c r="A654">
        <f>IFERROR(Preparos!A155,"")</f>
      </c>
    </row>
    <row r="655" spans="1:1" x14ac:dyDescent="0.25">
      <c r="A655">
        <f>IFERROR(Preparos!A156,"")</f>
      </c>
    </row>
    <row r="656" spans="1:1" x14ac:dyDescent="0.25">
      <c r="A656">
        <f>IFERROR(Preparos!A157,"")</f>
      </c>
    </row>
    <row r="657" spans="1:1" x14ac:dyDescent="0.25">
      <c r="A657">
        <f>IFERROR(Preparos!A158,"")</f>
      </c>
    </row>
    <row r="658" spans="1:1" x14ac:dyDescent="0.25">
      <c r="A658">
        <f>IFERROR(Preparos!A159,"")</f>
      </c>
    </row>
    <row r="659" spans="1:1" x14ac:dyDescent="0.25">
      <c r="A659">
        <f>IFERROR(Preparos!A160,"")</f>
      </c>
    </row>
    <row r="660" spans="1:1" x14ac:dyDescent="0.25">
      <c r="A660">
        <f>IFERROR(Preparos!A161,"")</f>
      </c>
    </row>
    <row r="661" spans="1:1" x14ac:dyDescent="0.25">
      <c r="A661">
        <f>IFERROR(Preparos!A162,"")</f>
      </c>
    </row>
    <row r="662" spans="1:1" x14ac:dyDescent="0.25">
      <c r="A662">
        <f>IFERROR(Preparos!A163,"")</f>
      </c>
    </row>
    <row r="663" spans="1:1" x14ac:dyDescent="0.25">
      <c r="A663">
        <f>IFERROR(Preparos!A164,"")</f>
      </c>
    </row>
    <row r="664" spans="1:1" x14ac:dyDescent="0.25">
      <c r="A664">
        <f>IFERROR(Preparos!A165,"")</f>
      </c>
    </row>
    <row r="665" spans="1:1" x14ac:dyDescent="0.25">
      <c r="A665">
        <f>IFERROR(Preparos!A166,"")</f>
      </c>
    </row>
    <row r="666" spans="1:1" x14ac:dyDescent="0.25">
      <c r="A666">
        <f>IFERROR(Preparos!A167,"")</f>
      </c>
    </row>
    <row r="667" spans="1:1" x14ac:dyDescent="0.25">
      <c r="A667">
        <f>IFERROR(Preparos!A168,"")</f>
      </c>
    </row>
    <row r="668" spans="1:1" x14ac:dyDescent="0.25">
      <c r="A668">
        <f>IFERROR(Preparos!A169,"")</f>
      </c>
    </row>
    <row r="669" spans="1:1" x14ac:dyDescent="0.25">
      <c r="A669">
        <f>IFERROR(Preparos!A170,"")</f>
      </c>
    </row>
    <row r="670" spans="1:1" x14ac:dyDescent="0.25">
      <c r="A670">
        <f>IFERROR(Preparos!A171,"")</f>
      </c>
    </row>
    <row r="671" spans="1:1" x14ac:dyDescent="0.25">
      <c r="A671">
        <f>IFERROR(Preparos!A172,"")</f>
      </c>
    </row>
    <row r="672" spans="1:1" x14ac:dyDescent="0.25">
      <c r="A672">
        <f>IFERROR(Preparos!A173,"")</f>
      </c>
    </row>
    <row r="673" spans="1:1" x14ac:dyDescent="0.25">
      <c r="A673">
        <f>IFERROR(Preparos!A174,"")</f>
      </c>
    </row>
    <row r="674" spans="1:1" x14ac:dyDescent="0.25">
      <c r="A674">
        <f>IFERROR(Preparos!A175,"")</f>
      </c>
    </row>
    <row r="675" spans="1:1" x14ac:dyDescent="0.25">
      <c r="A675">
        <f>IFERROR(Preparos!A176,"")</f>
      </c>
    </row>
    <row r="676" spans="1:1" x14ac:dyDescent="0.25">
      <c r="A676">
        <f>IFERROR(Preparos!A177,"")</f>
      </c>
    </row>
    <row r="677" spans="1:1" x14ac:dyDescent="0.25">
      <c r="A677">
        <f>IFERROR(Preparos!A178,"")</f>
      </c>
    </row>
    <row r="678" spans="1:1" x14ac:dyDescent="0.25">
      <c r="A678">
        <f>IFERROR(Preparos!A179,"")</f>
      </c>
    </row>
    <row r="679" spans="1:1" x14ac:dyDescent="0.25">
      <c r="A679">
        <f>IFERROR(Preparos!A180,"")</f>
      </c>
    </row>
    <row r="680" spans="1:1" x14ac:dyDescent="0.25">
      <c r="A680">
        <f>IFERROR(Preparos!A181,"")</f>
      </c>
    </row>
    <row r="681" spans="1:1" x14ac:dyDescent="0.25">
      <c r="A681">
        <f>IFERROR(Preparos!A182,"")</f>
      </c>
    </row>
    <row r="682" spans="1:1" x14ac:dyDescent="0.25">
      <c r="A682">
        <f>IFERROR(Preparos!A183,"")</f>
      </c>
    </row>
    <row r="683" spans="1:1" x14ac:dyDescent="0.25">
      <c r="A683">
        <f>IFERROR(Preparos!A184,"")</f>
      </c>
    </row>
    <row r="684" spans="1:1" x14ac:dyDescent="0.25">
      <c r="A684">
        <f>IFERROR(Preparos!A185,"")</f>
      </c>
    </row>
    <row r="685" spans="1:1" x14ac:dyDescent="0.25">
      <c r="A685">
        <f>IFERROR(Preparos!A186,"")</f>
      </c>
    </row>
    <row r="686" spans="1:1" x14ac:dyDescent="0.25">
      <c r="A686">
        <f>IFERROR(Preparos!A187,"")</f>
      </c>
    </row>
    <row r="687" spans="1:1" x14ac:dyDescent="0.25">
      <c r="A687">
        <f>IFERROR(Preparos!A188,"")</f>
      </c>
    </row>
    <row r="688" spans="1:1" x14ac:dyDescent="0.25">
      <c r="A688">
        <f>IFERROR(Preparos!A189,"")</f>
      </c>
    </row>
    <row r="689" spans="1:1" x14ac:dyDescent="0.25">
      <c r="A689">
        <f>IFERROR(Preparos!A190,"")</f>
      </c>
    </row>
    <row r="690" spans="1:1" x14ac:dyDescent="0.25">
      <c r="A690">
        <f>IFERROR(Preparos!A191,"")</f>
      </c>
    </row>
    <row r="691" spans="1:1" x14ac:dyDescent="0.25">
      <c r="A691">
        <f>IFERROR(Preparos!A192,"")</f>
      </c>
    </row>
    <row r="692" spans="1:1" x14ac:dyDescent="0.25">
      <c r="A692">
        <f>IFERROR(Preparos!A193,"")</f>
      </c>
    </row>
    <row r="693" spans="1:1" x14ac:dyDescent="0.25">
      <c r="A693">
        <f>IFERROR(Preparos!A194,"")</f>
      </c>
    </row>
    <row r="694" spans="1:1" x14ac:dyDescent="0.25">
      <c r="A694">
        <f>IFERROR(Preparos!A195,"")</f>
      </c>
    </row>
    <row r="695" spans="1:1" x14ac:dyDescent="0.25">
      <c r="A695">
        <f>IFERROR(Preparos!A196,"")</f>
      </c>
    </row>
    <row r="696" spans="1:1" x14ac:dyDescent="0.25">
      <c r="A696">
        <f>IFERROR(Preparos!A197,"")</f>
      </c>
    </row>
    <row r="697" spans="1:1" x14ac:dyDescent="0.25">
      <c r="A697">
        <f>IFERROR(Preparos!A198,"")</f>
      </c>
    </row>
    <row r="698" spans="1:1" x14ac:dyDescent="0.25">
      <c r="A698">
        <f>IFERROR(Preparos!A199,"")</f>
      </c>
    </row>
    <row r="699" spans="1:1" x14ac:dyDescent="0.25">
      <c r="A699">
        <f>IFERROR(Preparos!A200,"")</f>
      </c>
    </row>
    <row r="700" spans="1:1" x14ac:dyDescent="0.25">
      <c r="A700">
        <f>IFERROR(Preparos!A201,"")</f>
      </c>
    </row>
    <row r="701" spans="1:1" x14ac:dyDescent="0.25">
      <c r="A701">
        <f>IFERROR(Preparos!A202,"")</f>
      </c>
    </row>
    <row r="702" spans="1:1" x14ac:dyDescent="0.25">
      <c r="A702">
        <f>IFERROR(Preparos!A203,"")</f>
      </c>
    </row>
    <row r="703" spans="1:1" x14ac:dyDescent="0.25">
      <c r="A703">
        <f>IFERROR(Preparos!A204,"")</f>
      </c>
    </row>
    <row r="704" spans="1:1" x14ac:dyDescent="0.25">
      <c r="A704">
        <f>IFERROR(Preparos!A205,"")</f>
      </c>
    </row>
    <row r="705" spans="1:1" x14ac:dyDescent="0.25">
      <c r="A705">
        <f>IFERROR(Preparos!A206,"")</f>
      </c>
    </row>
    <row r="706" spans="1:1" x14ac:dyDescent="0.25">
      <c r="A706">
        <f>IFERROR(Preparos!A207,"")</f>
      </c>
    </row>
    <row r="707" spans="1:1" x14ac:dyDescent="0.25">
      <c r="A707">
        <f>IFERROR(Preparos!A208,"")</f>
      </c>
    </row>
    <row r="708" spans="1:1" x14ac:dyDescent="0.25">
      <c r="A708">
        <f>IFERROR(Preparos!A209,"")</f>
      </c>
    </row>
    <row r="709" spans="1:1" x14ac:dyDescent="0.25">
      <c r="A709">
        <f>IFERROR(Preparos!A210,"")</f>
      </c>
    </row>
    <row r="710" spans="1:1" x14ac:dyDescent="0.25">
      <c r="A710">
        <f>IFERROR(Preparos!A211,"")</f>
      </c>
    </row>
    <row r="711" spans="1:1" x14ac:dyDescent="0.25">
      <c r="A711">
        <f>IFERROR(Preparos!A212,"")</f>
      </c>
    </row>
    <row r="712" spans="1:1" x14ac:dyDescent="0.25">
      <c r="A712">
        <f>IFERROR(Preparos!A213,"")</f>
      </c>
    </row>
    <row r="713" spans="1:1" x14ac:dyDescent="0.25">
      <c r="A713">
        <f>IFERROR(Preparos!A214,"")</f>
      </c>
    </row>
    <row r="714" spans="1:1" x14ac:dyDescent="0.25">
      <c r="A714">
        <f>IFERROR(Preparos!A215,"")</f>
      </c>
    </row>
    <row r="715" spans="1:1" x14ac:dyDescent="0.25">
      <c r="A715">
        <f>IFERROR(Preparos!A216,"")</f>
      </c>
    </row>
    <row r="716" spans="1:1" x14ac:dyDescent="0.25">
      <c r="A716">
        <f>IFERROR(Preparos!A217,"")</f>
      </c>
    </row>
    <row r="717" spans="1:1" x14ac:dyDescent="0.25">
      <c r="A717">
        <f>IFERROR(Preparos!A218,"")</f>
      </c>
    </row>
    <row r="718" spans="1:1" x14ac:dyDescent="0.25">
      <c r="A718">
        <f>IFERROR(Preparos!A219,"")</f>
      </c>
    </row>
    <row r="719" spans="1:1" x14ac:dyDescent="0.25">
      <c r="A719">
        <f>IFERROR(Preparos!A220,"")</f>
      </c>
    </row>
    <row r="720" spans="1:1" x14ac:dyDescent="0.25">
      <c r="A720">
        <f>IFERROR(Preparos!A221,"")</f>
      </c>
    </row>
    <row r="721" spans="1:1" x14ac:dyDescent="0.25">
      <c r="A721">
        <f>IFERROR(Preparos!A222,"")</f>
      </c>
    </row>
    <row r="722" spans="1:1" x14ac:dyDescent="0.25">
      <c r="A722">
        <f>IFERROR(Preparos!A223,"")</f>
      </c>
    </row>
    <row r="723" spans="1:1" x14ac:dyDescent="0.25">
      <c r="A723">
        <f>IFERROR(Preparos!A224,"")</f>
      </c>
    </row>
    <row r="724" spans="1:1" x14ac:dyDescent="0.25">
      <c r="A724">
        <f>IFERROR(Preparos!A225,"")</f>
      </c>
    </row>
    <row r="725" spans="1:1" x14ac:dyDescent="0.25">
      <c r="A725">
        <f>IFERROR(Preparos!A226,"")</f>
      </c>
    </row>
    <row r="726" spans="1:1" x14ac:dyDescent="0.25">
      <c r="A726">
        <f>IFERROR(Preparos!A227,"")</f>
      </c>
    </row>
    <row r="727" spans="1:1" x14ac:dyDescent="0.25">
      <c r="A727">
        <f>IFERROR(Preparos!A228,"")</f>
      </c>
    </row>
    <row r="728" spans="1:1" x14ac:dyDescent="0.25">
      <c r="A728">
        <f>IFERROR(Preparos!A229,"")</f>
      </c>
    </row>
    <row r="729" spans="1:1" x14ac:dyDescent="0.25">
      <c r="A729">
        <f>IFERROR(Preparos!A230,"")</f>
      </c>
    </row>
    <row r="730" spans="1:1" x14ac:dyDescent="0.25">
      <c r="A730">
        <f>IFERROR(Preparos!A231,"")</f>
      </c>
    </row>
    <row r="731" spans="1:1" x14ac:dyDescent="0.25">
      <c r="A731">
        <f>IFERROR(Preparos!A232,"")</f>
      </c>
    </row>
    <row r="732" spans="1:1" x14ac:dyDescent="0.25">
      <c r="A732">
        <f>IFERROR(Preparos!A233,"")</f>
      </c>
    </row>
    <row r="733" spans="1:1" x14ac:dyDescent="0.25">
      <c r="A733">
        <f>IFERROR(Preparos!A234,"")</f>
      </c>
    </row>
    <row r="734" spans="1:1" x14ac:dyDescent="0.25">
      <c r="A734">
        <f>IFERROR(Preparos!A235,"")</f>
      </c>
    </row>
    <row r="735" spans="1:1" x14ac:dyDescent="0.25">
      <c r="A735">
        <f>IFERROR(Preparos!A236,"")</f>
      </c>
    </row>
    <row r="736" spans="1:1" x14ac:dyDescent="0.25">
      <c r="A736">
        <f>IFERROR(Preparos!A237,"")</f>
      </c>
    </row>
    <row r="737" spans="1:1" x14ac:dyDescent="0.25">
      <c r="A737">
        <f>IFERROR(Preparos!A238,"")</f>
      </c>
    </row>
    <row r="738" spans="1:1" x14ac:dyDescent="0.25">
      <c r="A738">
        <f>IFERROR(Preparos!A239,"")</f>
      </c>
    </row>
    <row r="739" spans="1:1" x14ac:dyDescent="0.25">
      <c r="A739">
        <f>IFERROR(Preparos!A240,"")</f>
      </c>
    </row>
    <row r="740" spans="1:1" x14ac:dyDescent="0.25">
      <c r="A740">
        <f>IFERROR(Preparos!A241,"")</f>
      </c>
    </row>
    <row r="741" spans="1:1" x14ac:dyDescent="0.25">
      <c r="A741">
        <f>IFERROR(Preparos!A242,"")</f>
      </c>
    </row>
    <row r="742" spans="1:1" x14ac:dyDescent="0.25">
      <c r="A742">
        <f>IFERROR(Preparos!A243,"")</f>
      </c>
    </row>
    <row r="743" spans="1:1" x14ac:dyDescent="0.25">
      <c r="A743">
        <f>IFERROR(Preparos!A244,"")</f>
      </c>
    </row>
    <row r="744" spans="1:1" x14ac:dyDescent="0.25">
      <c r="A744">
        <f>IFERROR(Preparos!A245,"")</f>
      </c>
    </row>
    <row r="745" spans="1:1" x14ac:dyDescent="0.25">
      <c r="A745">
        <f>IFERROR(Preparos!A246,"")</f>
      </c>
    </row>
    <row r="746" spans="1:1" x14ac:dyDescent="0.25">
      <c r="A746">
        <f>IFERROR(Preparos!A247,"")</f>
      </c>
    </row>
    <row r="747" spans="1:1" x14ac:dyDescent="0.25">
      <c r="A747">
        <f>IFERROR(Preparos!A248,"")</f>
      </c>
    </row>
    <row r="748" spans="1:1" x14ac:dyDescent="0.25">
      <c r="A748">
        <f>IFERROR(Preparos!A249,"")</f>
      </c>
    </row>
    <row r="749" spans="1:1" x14ac:dyDescent="0.25">
      <c r="A749">
        <f>IFERROR(Preparos!A250,"")</f>
      </c>
    </row>
    <row r="750" spans="1:1" x14ac:dyDescent="0.25">
      <c r="A750">
        <f>IFERROR(Preparos!A251,"")</f>
      </c>
    </row>
    <row r="751" spans="1:1" x14ac:dyDescent="0.25">
      <c r="A751">
        <f>IFERROR(Preparos!A252,"")</f>
      </c>
    </row>
    <row r="752" spans="1:1" x14ac:dyDescent="0.25">
      <c r="A752">
        <f>IFERROR(Preparos!A253,"")</f>
      </c>
    </row>
    <row r="753" spans="1:1" x14ac:dyDescent="0.25">
      <c r="A753">
        <f>IFERROR(Preparos!A254,"")</f>
      </c>
    </row>
    <row r="754" spans="1:1" x14ac:dyDescent="0.25">
      <c r="A754">
        <f>IFERROR(Preparos!A255,"")</f>
      </c>
    </row>
    <row r="755" spans="1:1" x14ac:dyDescent="0.25">
      <c r="A755">
        <f>IFERROR(Preparos!A256,"")</f>
      </c>
    </row>
    <row r="756" spans="1:1" x14ac:dyDescent="0.25">
      <c r="A756">
        <f>IFERROR(Preparos!A257,"")</f>
      </c>
    </row>
    <row r="757" spans="1:1" x14ac:dyDescent="0.25">
      <c r="A757">
        <f>IFERROR(Preparos!A258,"")</f>
      </c>
    </row>
    <row r="758" spans="1:1" x14ac:dyDescent="0.25">
      <c r="A758">
        <f>IFERROR(Preparos!A259,"")</f>
      </c>
    </row>
    <row r="759" spans="1:1" x14ac:dyDescent="0.25">
      <c r="A759">
        <f>IFERROR(Preparos!A260,"")</f>
      </c>
    </row>
    <row r="760" spans="1:1" x14ac:dyDescent="0.25">
      <c r="A760">
        <f>IFERROR(Preparos!A261,"")</f>
      </c>
    </row>
    <row r="761" spans="1:1" x14ac:dyDescent="0.25">
      <c r="A761">
        <f>IFERROR(Preparos!A262,"")</f>
      </c>
    </row>
    <row r="762" spans="1:1" x14ac:dyDescent="0.25">
      <c r="A762">
        <f>IFERROR(Preparos!A263,"")</f>
      </c>
    </row>
    <row r="763" spans="1:1" x14ac:dyDescent="0.25">
      <c r="A763">
        <f>IFERROR(Preparos!A264,"")</f>
      </c>
    </row>
    <row r="764" spans="1:1" x14ac:dyDescent="0.25">
      <c r="A764">
        <f>IFERROR(Preparos!A265,"")</f>
      </c>
    </row>
    <row r="765" spans="1:1" x14ac:dyDescent="0.25">
      <c r="A765">
        <f>IFERROR(Preparos!A266,"")</f>
      </c>
    </row>
    <row r="766" spans="1:1" x14ac:dyDescent="0.25">
      <c r="A766">
        <f>IFERROR(Preparos!A267,"")</f>
      </c>
    </row>
    <row r="767" spans="1:1" x14ac:dyDescent="0.25">
      <c r="A767">
        <f>IFERROR(Preparos!A268,"")</f>
      </c>
    </row>
    <row r="768" spans="1:1" x14ac:dyDescent="0.25">
      <c r="A768">
        <f>IFERROR(Preparos!A269,"")</f>
      </c>
    </row>
    <row r="769" spans="1:1" x14ac:dyDescent="0.25">
      <c r="A769">
        <f>IFERROR(Preparos!A270,"")</f>
      </c>
    </row>
    <row r="770" spans="1:1" x14ac:dyDescent="0.25">
      <c r="A770">
        <f>IFERROR(Preparos!A271,"")</f>
      </c>
    </row>
    <row r="771" spans="1:1" x14ac:dyDescent="0.25">
      <c r="A771">
        <f>IFERROR(Preparos!A272,"")</f>
      </c>
    </row>
    <row r="772" spans="1:1" x14ac:dyDescent="0.25">
      <c r="A772">
        <f>IFERROR(Preparos!A273,"")</f>
      </c>
    </row>
    <row r="773" spans="1:1" x14ac:dyDescent="0.25">
      <c r="A773">
        <f>IFERROR(Preparos!A274,"")</f>
      </c>
    </row>
    <row r="774" spans="1:1" x14ac:dyDescent="0.25">
      <c r="A774">
        <f>IFERROR(Preparos!A275,"")</f>
      </c>
    </row>
    <row r="775" spans="1:1" x14ac:dyDescent="0.25">
      <c r="A775">
        <f>IFERROR(Preparos!A276,"")</f>
      </c>
    </row>
    <row r="776" spans="1:1" x14ac:dyDescent="0.25">
      <c r="A776">
        <f>IFERROR(Preparos!A277,"")</f>
      </c>
    </row>
    <row r="777" spans="1:1" x14ac:dyDescent="0.25">
      <c r="A777">
        <f>IFERROR(Preparos!A278,"")</f>
      </c>
    </row>
    <row r="778" spans="1:1" x14ac:dyDescent="0.25">
      <c r="A778">
        <f>IFERROR(Preparos!A279,"")</f>
      </c>
    </row>
    <row r="779" spans="1:1" x14ac:dyDescent="0.25">
      <c r="A779">
        <f>IFERROR(Preparos!A280,"")</f>
      </c>
    </row>
    <row r="780" spans="1:1" x14ac:dyDescent="0.25">
      <c r="A780">
        <f>IFERROR(Preparos!A281,"")</f>
      </c>
    </row>
    <row r="781" spans="1:1" x14ac:dyDescent="0.25">
      <c r="A781">
        <f>IFERROR(Preparos!A282,"")</f>
      </c>
    </row>
    <row r="782" spans="1:1" x14ac:dyDescent="0.25">
      <c r="A782">
        <f>IFERROR(Preparos!A283,"")</f>
      </c>
    </row>
    <row r="783" spans="1:1" x14ac:dyDescent="0.25">
      <c r="A783">
        <f>IFERROR(Preparos!A284,"")</f>
      </c>
    </row>
    <row r="784" spans="1:1" x14ac:dyDescent="0.25">
      <c r="A784">
        <f>IFERROR(Preparos!A285,"")</f>
      </c>
    </row>
    <row r="785" spans="1:1" x14ac:dyDescent="0.25">
      <c r="A785">
        <f>IFERROR(Preparos!A286,"")</f>
      </c>
    </row>
    <row r="786" spans="1:1" x14ac:dyDescent="0.25">
      <c r="A786">
        <f>IFERROR(Preparos!A287,"")</f>
      </c>
    </row>
    <row r="787" spans="1:1" x14ac:dyDescent="0.25">
      <c r="A787">
        <f>IFERROR(Preparos!A288,"")</f>
      </c>
    </row>
    <row r="788" spans="1:1" x14ac:dyDescent="0.25">
      <c r="A788">
        <f>IFERROR(Preparos!A289,"")</f>
      </c>
    </row>
    <row r="789" spans="1:1" x14ac:dyDescent="0.25">
      <c r="A789">
        <f>IFERROR(Preparos!A290,"")</f>
      </c>
    </row>
    <row r="790" spans="1:1" x14ac:dyDescent="0.25">
      <c r="A790">
        <f>IFERROR(Preparos!A291,"")</f>
      </c>
    </row>
    <row r="791" spans="1:1" x14ac:dyDescent="0.25">
      <c r="A791">
        <f>IFERROR(Preparos!A292,"")</f>
      </c>
    </row>
    <row r="792" spans="1:1" x14ac:dyDescent="0.25">
      <c r="A792">
        <f>IFERROR(Preparos!A293,"")</f>
      </c>
    </row>
    <row r="793" spans="1:1" x14ac:dyDescent="0.25">
      <c r="A793">
        <f>IFERROR(Preparos!A294,"")</f>
      </c>
    </row>
    <row r="794" spans="1:1" x14ac:dyDescent="0.25">
      <c r="A794">
        <f>IFERROR(Preparos!A295,"")</f>
      </c>
    </row>
    <row r="795" spans="1:1" x14ac:dyDescent="0.25">
      <c r="A795">
        <f>IFERROR(Preparos!A296,"")</f>
      </c>
    </row>
    <row r="796" spans="1:1" x14ac:dyDescent="0.25">
      <c r="A796">
        <f>IFERROR(Preparos!A297,"")</f>
      </c>
    </row>
    <row r="797" spans="1:1" x14ac:dyDescent="0.25">
      <c r="A797">
        <f>IFERROR(Preparos!A298,"")</f>
      </c>
    </row>
    <row r="798" spans="1:1" x14ac:dyDescent="0.25">
      <c r="A798">
        <f>IFERROR(Preparos!A299,"")</f>
      </c>
    </row>
    <row r="799" spans="1:1" x14ac:dyDescent="0.25">
      <c r="A799">
        <f>IFERROR(Preparos!A300,"")</f>
      </c>
    </row>
    <row r="800" spans="1:1" x14ac:dyDescent="0.25">
      <c r="A800">
        <f>IFERROR(Preparos!A301,"")</f>
      </c>
    </row>
    <row r="801" spans="1:1" x14ac:dyDescent="0.25">
      <c r="A801">
        <f>IFERROR(Preparos!A302,"")</f>
      </c>
    </row>
    <row r="802" spans="1:1" x14ac:dyDescent="0.25">
      <c r="A802">
        <f>IFERROR(Preparos!A303,"")</f>
      </c>
    </row>
    <row r="803" spans="1:1" x14ac:dyDescent="0.25">
      <c r="A803">
        <f>IFERROR(Preparos!A304,"")</f>
      </c>
    </row>
    <row r="804" spans="1:1" x14ac:dyDescent="0.25">
      <c r="A804">
        <f>IFERROR(Preparos!A305,"")</f>
      </c>
    </row>
    <row r="805" spans="1:1" x14ac:dyDescent="0.25">
      <c r="A805">
        <f>IFERROR(Preparos!A306,"")</f>
      </c>
    </row>
    <row r="806" spans="1:1" x14ac:dyDescent="0.25">
      <c r="A806">
        <f>IFERROR(Preparos!A307,"")</f>
      </c>
    </row>
    <row r="807" spans="1:1" x14ac:dyDescent="0.25">
      <c r="A807">
        <f>IFERROR(Preparos!A308,"")</f>
      </c>
    </row>
    <row r="808" spans="1:1" x14ac:dyDescent="0.25">
      <c r="A808">
        <f>IFERROR(Preparos!A309,"")</f>
      </c>
    </row>
    <row r="809" spans="1:1" x14ac:dyDescent="0.25">
      <c r="A809">
        <f>IFERROR(Preparos!A310,"")</f>
      </c>
    </row>
    <row r="810" spans="1:1" x14ac:dyDescent="0.25">
      <c r="A810">
        <f>IFERROR(Preparos!A311,"")</f>
      </c>
    </row>
    <row r="811" spans="1:1" x14ac:dyDescent="0.25">
      <c r="A811">
        <f>IFERROR(Preparos!A312,"")</f>
      </c>
    </row>
    <row r="812" spans="1:1" x14ac:dyDescent="0.25">
      <c r="A812">
        <f>IFERROR(Preparos!A313,"")</f>
      </c>
    </row>
    <row r="813" spans="1:1" x14ac:dyDescent="0.25">
      <c r="A813">
        <f>IFERROR(Preparos!A314,"")</f>
      </c>
    </row>
    <row r="814" spans="1:1" x14ac:dyDescent="0.25">
      <c r="A814">
        <f>IFERROR(Preparos!A315,"")</f>
      </c>
    </row>
    <row r="815" spans="1:1" x14ac:dyDescent="0.25">
      <c r="A815">
        <f>IFERROR(Preparos!A316,"")</f>
      </c>
    </row>
    <row r="816" spans="1:1" x14ac:dyDescent="0.25">
      <c r="A816">
        <f>IFERROR(Preparos!A317,"")</f>
      </c>
    </row>
    <row r="817" spans="1:1" x14ac:dyDescent="0.25">
      <c r="A817">
        <f>IFERROR(Preparos!A318,"")</f>
      </c>
    </row>
    <row r="818" spans="1:1" x14ac:dyDescent="0.25">
      <c r="A818">
        <f>IFERROR(Preparos!A319,"")</f>
      </c>
    </row>
    <row r="819" spans="1:1" x14ac:dyDescent="0.25">
      <c r="A819">
        <f>IFERROR(Preparos!A320,"")</f>
      </c>
    </row>
    <row r="820" spans="1:1" x14ac:dyDescent="0.25">
      <c r="A820">
        <f>IFERROR(Preparos!A321,"")</f>
      </c>
    </row>
    <row r="821" spans="1:1" x14ac:dyDescent="0.25">
      <c r="A821">
        <f>IFERROR(Preparos!A322,"")</f>
      </c>
    </row>
    <row r="822" spans="1:1" x14ac:dyDescent="0.25">
      <c r="A822">
        <f>IFERROR(Preparos!A323,"")</f>
      </c>
    </row>
    <row r="823" spans="1:1" x14ac:dyDescent="0.25">
      <c r="A823">
        <f>IFERROR(Preparos!A324,"")</f>
      </c>
    </row>
    <row r="824" spans="1:1" x14ac:dyDescent="0.25">
      <c r="A824">
        <f>IFERROR(Preparos!A325,"")</f>
      </c>
    </row>
    <row r="825" spans="1:1" x14ac:dyDescent="0.25">
      <c r="A825">
        <f>IFERROR(Preparos!A326,"")</f>
      </c>
    </row>
    <row r="826" spans="1:1" x14ac:dyDescent="0.25">
      <c r="A826">
        <f>IFERROR(Preparos!A327,"")</f>
      </c>
    </row>
    <row r="827" spans="1:1" x14ac:dyDescent="0.25">
      <c r="A827">
        <f>IFERROR(Preparos!A328,"")</f>
      </c>
    </row>
    <row r="828" spans="1:1" x14ac:dyDescent="0.25">
      <c r="A828">
        <f>IFERROR(Preparos!A329,"")</f>
      </c>
    </row>
    <row r="829" spans="1:1" x14ac:dyDescent="0.25">
      <c r="A829">
        <f>IFERROR(Preparos!A330,"")</f>
      </c>
    </row>
    <row r="830" spans="1:1" x14ac:dyDescent="0.25">
      <c r="A830">
        <f>IFERROR(Preparos!A331,"")</f>
      </c>
    </row>
    <row r="831" spans="1:1" x14ac:dyDescent="0.25">
      <c r="A831">
        <f>IFERROR(Preparos!A332,"")</f>
      </c>
    </row>
    <row r="832" spans="1:1" x14ac:dyDescent="0.25">
      <c r="A832">
        <f>IFERROR(Preparos!A333,"")</f>
      </c>
    </row>
    <row r="833" spans="1:1" x14ac:dyDescent="0.25">
      <c r="A833">
        <f>IFERROR(Preparos!A334,"")</f>
      </c>
    </row>
    <row r="834" spans="1:1" x14ac:dyDescent="0.25">
      <c r="A834">
        <f>IFERROR(Preparos!A335,"")</f>
      </c>
    </row>
    <row r="835" spans="1:1" x14ac:dyDescent="0.25">
      <c r="A835">
        <f>IFERROR(Preparos!A336,"")</f>
      </c>
    </row>
    <row r="836" spans="1:1" x14ac:dyDescent="0.25">
      <c r="A836">
        <f>IFERROR(Preparos!A337,"")</f>
      </c>
    </row>
    <row r="837" spans="1:1" x14ac:dyDescent="0.25">
      <c r="A837">
        <f>IFERROR(Preparos!A338,"")</f>
      </c>
    </row>
    <row r="838" spans="1:1" x14ac:dyDescent="0.25">
      <c r="A838">
        <f>IFERROR(Preparos!A339,"")</f>
      </c>
    </row>
    <row r="839" spans="1:1" x14ac:dyDescent="0.25">
      <c r="A839">
        <f>IFERROR(Preparos!A340,"")</f>
      </c>
    </row>
    <row r="840" spans="1:1" x14ac:dyDescent="0.25">
      <c r="A840">
        <f>IFERROR(Preparos!A341,"")</f>
      </c>
    </row>
    <row r="841" spans="1:1" x14ac:dyDescent="0.25">
      <c r="A841">
        <f>IFERROR(Preparos!A342,"")</f>
      </c>
    </row>
    <row r="842" spans="1:1" x14ac:dyDescent="0.25">
      <c r="A842">
        <f>IFERROR(Preparos!A343,"")</f>
      </c>
    </row>
    <row r="843" spans="1:1" x14ac:dyDescent="0.25">
      <c r="A843">
        <f>IFERROR(Preparos!A344,"")</f>
      </c>
    </row>
    <row r="844" spans="1:1" x14ac:dyDescent="0.25">
      <c r="A844">
        <f>IFERROR(Preparos!A345,"")</f>
      </c>
    </row>
    <row r="845" spans="1:1" x14ac:dyDescent="0.25">
      <c r="A845">
        <f>IFERROR(Preparos!A346,"")</f>
      </c>
    </row>
    <row r="846" spans="1:1" x14ac:dyDescent="0.25">
      <c r="A846">
        <f>IFERROR(Preparos!A347,"")</f>
      </c>
    </row>
    <row r="847" spans="1:1" x14ac:dyDescent="0.25">
      <c r="A847">
        <f>IFERROR(Preparos!A348,"")</f>
      </c>
    </row>
    <row r="848" spans="1:1" x14ac:dyDescent="0.25">
      <c r="A848">
        <f>IFERROR(Preparos!A349,"")</f>
      </c>
    </row>
    <row r="849" spans="1:1" x14ac:dyDescent="0.25">
      <c r="A849">
        <f>IFERROR(Preparos!A350,"")</f>
      </c>
    </row>
    <row r="850" spans="1:1" x14ac:dyDescent="0.25">
      <c r="A850">
        <f>IFERROR(Preparos!A351,"")</f>
      </c>
    </row>
    <row r="851" spans="1:1" x14ac:dyDescent="0.25">
      <c r="A851">
        <f>IFERROR(Preparos!A352,"")</f>
      </c>
    </row>
    <row r="852" spans="1:1" x14ac:dyDescent="0.25">
      <c r="A852">
        <f>IFERROR(Preparos!A353,"")</f>
      </c>
    </row>
    <row r="853" spans="1:1" x14ac:dyDescent="0.25">
      <c r="A853">
        <f>IFERROR(Preparos!A354,"")</f>
      </c>
    </row>
    <row r="854" spans="1:1" x14ac:dyDescent="0.25">
      <c r="A854">
        <f>IFERROR(Preparos!A355,"")</f>
      </c>
    </row>
    <row r="855" spans="1:1" x14ac:dyDescent="0.25">
      <c r="A855">
        <f>IFERROR(Preparos!A356,"")</f>
      </c>
    </row>
    <row r="856" spans="1:1" x14ac:dyDescent="0.25">
      <c r="A856">
        <f>IFERROR(Preparos!A357,"")</f>
      </c>
    </row>
    <row r="857" spans="1:1" x14ac:dyDescent="0.25">
      <c r="A857">
        <f>IFERROR(Preparos!A358,"")</f>
      </c>
    </row>
    <row r="858" spans="1:1" x14ac:dyDescent="0.25">
      <c r="A858">
        <f>IFERROR(Preparos!A359,"")</f>
      </c>
    </row>
    <row r="859" spans="1:1" x14ac:dyDescent="0.25">
      <c r="A859">
        <f>IFERROR(Preparos!A360,"")</f>
      </c>
    </row>
    <row r="860" spans="1:1" x14ac:dyDescent="0.25">
      <c r="A860">
        <f>IFERROR(Preparos!A361,"")</f>
      </c>
    </row>
    <row r="861" spans="1:1" x14ac:dyDescent="0.25">
      <c r="A861">
        <f>IFERROR(Preparos!A362,"")</f>
      </c>
    </row>
    <row r="862" spans="1:1" x14ac:dyDescent="0.25">
      <c r="A862">
        <f>IFERROR(Preparos!A363,"")</f>
      </c>
    </row>
    <row r="863" spans="1:1" x14ac:dyDescent="0.25">
      <c r="A863">
        <f>IFERROR(Preparos!A364,"")</f>
      </c>
    </row>
    <row r="864" spans="1:1" x14ac:dyDescent="0.25">
      <c r="A864">
        <f>IFERROR(Preparos!A365,"")</f>
      </c>
    </row>
    <row r="865" spans="1:1" x14ac:dyDescent="0.25">
      <c r="A865">
        <f>IFERROR(Preparos!A366,"")</f>
      </c>
    </row>
    <row r="866" spans="1:1" x14ac:dyDescent="0.25">
      <c r="A866">
        <f>IFERROR(Preparos!A367,"")</f>
      </c>
    </row>
    <row r="867" spans="1:1" x14ac:dyDescent="0.25">
      <c r="A867">
        <f>IFERROR(Preparos!A368,"")</f>
      </c>
    </row>
    <row r="868" spans="1:1" x14ac:dyDescent="0.25">
      <c r="A868">
        <f>IFERROR(Preparos!A369,"")</f>
      </c>
    </row>
    <row r="869" spans="1:1" x14ac:dyDescent="0.25">
      <c r="A869">
        <f>IFERROR(Preparos!A370,"")</f>
      </c>
    </row>
    <row r="870" spans="1:1" x14ac:dyDescent="0.25">
      <c r="A870">
        <f>IFERROR(Preparos!A371,"")</f>
      </c>
    </row>
    <row r="871" spans="1:1" x14ac:dyDescent="0.25">
      <c r="A871">
        <f>IFERROR(Preparos!A372,"")</f>
      </c>
    </row>
    <row r="872" spans="1:1" x14ac:dyDescent="0.25">
      <c r="A872">
        <f>IFERROR(Preparos!A373,"")</f>
      </c>
    </row>
    <row r="873" spans="1:1" x14ac:dyDescent="0.25">
      <c r="A873">
        <f>IFERROR(Preparos!A374,"")</f>
      </c>
    </row>
    <row r="874" spans="1:1" x14ac:dyDescent="0.25">
      <c r="A874">
        <f>IFERROR(Preparos!A375,"")</f>
      </c>
    </row>
    <row r="875" spans="1:1" x14ac:dyDescent="0.25">
      <c r="A875">
        <f>IFERROR(Preparos!A376,"")</f>
      </c>
    </row>
    <row r="876" spans="1:1" x14ac:dyDescent="0.25">
      <c r="A876">
        <f>IFERROR(Preparos!A377,"")</f>
      </c>
    </row>
    <row r="877" spans="1:1" x14ac:dyDescent="0.25">
      <c r="A877">
        <f>IFERROR(Preparos!A378,"")</f>
      </c>
    </row>
    <row r="878" spans="1:1" x14ac:dyDescent="0.25">
      <c r="A878">
        <f>IFERROR(Preparos!A379,"")</f>
      </c>
    </row>
    <row r="879" spans="1:1" x14ac:dyDescent="0.25">
      <c r="A879">
        <f>IFERROR(Preparos!A380,"")</f>
      </c>
    </row>
    <row r="880" spans="1:1" x14ac:dyDescent="0.25">
      <c r="A880">
        <f>IFERROR(Preparos!A381,"")</f>
      </c>
    </row>
    <row r="881" spans="1:1" x14ac:dyDescent="0.25">
      <c r="A881">
        <f>IFERROR(Preparos!A382,"")</f>
      </c>
    </row>
    <row r="882" spans="1:1" x14ac:dyDescent="0.25">
      <c r="A882">
        <f>IFERROR(Preparos!A383,"")</f>
      </c>
    </row>
    <row r="883" spans="1:1" x14ac:dyDescent="0.25">
      <c r="A883">
        <f>IFERROR(Preparos!A384,"")</f>
      </c>
    </row>
    <row r="884" spans="1:1" x14ac:dyDescent="0.25">
      <c r="A884">
        <f>IFERROR(Preparos!A385,"")</f>
      </c>
    </row>
    <row r="885" spans="1:1" x14ac:dyDescent="0.25">
      <c r="A885">
        <f>IFERROR(Preparos!A386,"")</f>
      </c>
    </row>
    <row r="886" spans="1:1" x14ac:dyDescent="0.25">
      <c r="A886">
        <f>IFERROR(Preparos!A387,"")</f>
      </c>
    </row>
    <row r="887" spans="1:1" x14ac:dyDescent="0.25">
      <c r="A887">
        <f>IFERROR(Preparos!A388,"")</f>
      </c>
    </row>
    <row r="888" spans="1:1" x14ac:dyDescent="0.25">
      <c r="A888">
        <f>IFERROR(Preparos!A389,"")</f>
      </c>
    </row>
    <row r="889" spans="1:1" x14ac:dyDescent="0.25">
      <c r="A889">
        <f>IFERROR(Preparos!A390,"")</f>
      </c>
    </row>
    <row r="890" spans="1:1" x14ac:dyDescent="0.25">
      <c r="A890">
        <f>IFERROR(Preparos!A391,"")</f>
      </c>
    </row>
    <row r="891" spans="1:1" x14ac:dyDescent="0.25">
      <c r="A891">
        <f>IFERROR(Preparos!A392,"")</f>
      </c>
    </row>
    <row r="892" spans="1:1" x14ac:dyDescent="0.25">
      <c r="A892">
        <f>IFERROR(Preparos!A393,"")</f>
      </c>
    </row>
    <row r="893" spans="1:1" x14ac:dyDescent="0.25">
      <c r="A893">
        <f>IFERROR(Preparos!A394,"")</f>
      </c>
    </row>
    <row r="894" spans="1:1" x14ac:dyDescent="0.25">
      <c r="A894">
        <f>IFERROR(Preparos!A395,"")</f>
      </c>
    </row>
    <row r="895" spans="1:1" x14ac:dyDescent="0.25">
      <c r="A895">
        <f>IFERROR(Preparos!A396,"")</f>
      </c>
    </row>
    <row r="896" spans="1:1" x14ac:dyDescent="0.25">
      <c r="A896">
        <f>IFERROR(Preparos!A397,"")</f>
      </c>
    </row>
    <row r="897" spans="1:1" x14ac:dyDescent="0.25">
      <c r="A897">
        <f>IFERROR(Preparos!A398,"")</f>
      </c>
    </row>
    <row r="898" spans="1:1" x14ac:dyDescent="0.25">
      <c r="A898">
        <f>IFERROR(Preparos!A399,"")</f>
      </c>
    </row>
    <row r="899" spans="1:1" x14ac:dyDescent="0.25">
      <c r="A899">
        <f>IFERROR(Preparos!A400,"")</f>
      </c>
    </row>
    <row r="900" spans="1:1" x14ac:dyDescent="0.25">
      <c r="A900">
        <f>IFERROR(Preparos!A401,"")</f>
      </c>
    </row>
    <row r="901" spans="1:1" x14ac:dyDescent="0.25">
      <c r="A901">
        <f>IFERROR(Preparos!A402,"")</f>
      </c>
    </row>
    <row r="902" spans="1:1" x14ac:dyDescent="0.25">
      <c r="A902">
        <f>IFERROR(Preparos!A403,"")</f>
      </c>
    </row>
    <row r="903" spans="1:1" x14ac:dyDescent="0.25">
      <c r="A903">
        <f>IFERROR(Preparos!A404,"")</f>
      </c>
    </row>
    <row r="904" spans="1:1" x14ac:dyDescent="0.25">
      <c r="A904">
        <f>IFERROR(Preparos!A405,"")</f>
      </c>
    </row>
    <row r="905" spans="1:1" x14ac:dyDescent="0.25">
      <c r="A905">
        <f>IFERROR(Preparos!A406,"")</f>
      </c>
    </row>
    <row r="906" spans="1:1" x14ac:dyDescent="0.25">
      <c r="A906">
        <f>IFERROR(Preparos!A407,"")</f>
      </c>
    </row>
    <row r="907" spans="1:1" x14ac:dyDescent="0.25">
      <c r="A907">
        <f>IFERROR(Preparos!A408,"")</f>
      </c>
    </row>
    <row r="908" spans="1:1" x14ac:dyDescent="0.25">
      <c r="A908">
        <f>IFERROR(Preparos!A409,"")</f>
      </c>
    </row>
    <row r="909" spans="1:1" x14ac:dyDescent="0.25">
      <c r="A909">
        <f>IFERROR(Preparos!A410,"")</f>
      </c>
    </row>
    <row r="910" spans="1:1" x14ac:dyDescent="0.25">
      <c r="A910">
        <f>IFERROR(Preparos!A411,"")</f>
      </c>
    </row>
    <row r="911" spans="1:1" x14ac:dyDescent="0.25">
      <c r="A911">
        <f>IFERROR(Preparos!A412,"")</f>
      </c>
    </row>
    <row r="912" spans="1:1" x14ac:dyDescent="0.25">
      <c r="A912">
        <f>IFERROR(Preparos!A413,"")</f>
      </c>
    </row>
    <row r="913" spans="1:1" x14ac:dyDescent="0.25">
      <c r="A913">
        <f>IFERROR(Preparos!A414,"")</f>
      </c>
    </row>
    <row r="914" spans="1:1" x14ac:dyDescent="0.25">
      <c r="A914">
        <f>IFERROR(Preparos!A415,"")</f>
      </c>
    </row>
    <row r="915" spans="1:1" x14ac:dyDescent="0.25">
      <c r="A915">
        <f>IFERROR(Preparos!A416,"")</f>
      </c>
    </row>
    <row r="916" spans="1:1" x14ac:dyDescent="0.25">
      <c r="A916">
        <f>IFERROR(Preparos!A417,"")</f>
      </c>
    </row>
    <row r="917" spans="1:1" x14ac:dyDescent="0.25">
      <c r="A917">
        <f>IFERROR(Preparos!A418,"")</f>
      </c>
    </row>
    <row r="918" spans="1:1" x14ac:dyDescent="0.25">
      <c r="A918">
        <f>IFERROR(Preparos!A419,"")</f>
      </c>
    </row>
    <row r="919" spans="1:1" x14ac:dyDescent="0.25">
      <c r="A919">
        <f>IFERROR(Preparos!A420,"")</f>
      </c>
    </row>
    <row r="920" spans="1:1" x14ac:dyDescent="0.25">
      <c r="A920">
        <f>IFERROR(Preparos!A421,"")</f>
      </c>
    </row>
    <row r="921" spans="1:1" x14ac:dyDescent="0.25">
      <c r="A921">
        <f>IFERROR(Preparos!A422,"")</f>
      </c>
    </row>
    <row r="922" spans="1:1" x14ac:dyDescent="0.25">
      <c r="A922">
        <f>IFERROR(Preparos!A423,"")</f>
      </c>
    </row>
    <row r="923" spans="1:1" x14ac:dyDescent="0.25">
      <c r="A923">
        <f>IFERROR(Preparos!A424,"")</f>
      </c>
    </row>
    <row r="924" spans="1:1" x14ac:dyDescent="0.25">
      <c r="A924">
        <f>IFERROR(Preparos!A425,"")</f>
      </c>
    </row>
    <row r="925" spans="1:1" x14ac:dyDescent="0.25">
      <c r="A925">
        <f>IFERROR(Preparos!A426,"")</f>
      </c>
    </row>
    <row r="926" spans="1:1" x14ac:dyDescent="0.25">
      <c r="A926">
        <f>IFERROR(Preparos!A427,"")</f>
      </c>
    </row>
    <row r="927" spans="1:1" x14ac:dyDescent="0.25">
      <c r="A927">
        <f>IFERROR(Preparos!A428,"")</f>
      </c>
    </row>
    <row r="928" spans="1:1" x14ac:dyDescent="0.25">
      <c r="A928">
        <f>IFERROR(Preparos!A429,"")</f>
      </c>
    </row>
    <row r="929" spans="1:1" x14ac:dyDescent="0.25">
      <c r="A929">
        <f>IFERROR(Preparos!A430,"")</f>
      </c>
    </row>
    <row r="930" spans="1:1" x14ac:dyDescent="0.25">
      <c r="A930">
        <f>IFERROR(Preparos!A431,"")</f>
      </c>
    </row>
    <row r="931" spans="1:1" x14ac:dyDescent="0.25">
      <c r="A931">
        <f>IFERROR(Preparos!A432,"")</f>
      </c>
    </row>
    <row r="932" spans="1:1" x14ac:dyDescent="0.25">
      <c r="A932">
        <f>IFERROR(Preparos!A433,"")</f>
      </c>
    </row>
    <row r="933" spans="1:1" x14ac:dyDescent="0.25">
      <c r="A933">
        <f>IFERROR(Preparos!A434,"")</f>
      </c>
    </row>
    <row r="934" spans="1:1" x14ac:dyDescent="0.25">
      <c r="A934">
        <f>IFERROR(Preparos!A435,"")</f>
      </c>
    </row>
    <row r="935" spans="1:1" x14ac:dyDescent="0.25">
      <c r="A935">
        <f>IFERROR(Preparos!A436,"")</f>
      </c>
    </row>
    <row r="936" spans="1:1" x14ac:dyDescent="0.25">
      <c r="A936">
        <f>IFERROR(Preparos!A437,"")</f>
      </c>
    </row>
    <row r="937" spans="1:1" x14ac:dyDescent="0.25">
      <c r="A937">
        <f>IFERROR(Preparos!A438,"")</f>
      </c>
    </row>
    <row r="938" spans="1:1" x14ac:dyDescent="0.25">
      <c r="A938">
        <f>IFERROR(Preparos!A439,"")</f>
      </c>
    </row>
    <row r="939" spans="1:1" x14ac:dyDescent="0.25">
      <c r="A939">
        <f>IFERROR(Preparos!A440,"")</f>
      </c>
    </row>
    <row r="940" spans="1:1" x14ac:dyDescent="0.25">
      <c r="A940">
        <f>IFERROR(Preparos!A441,"")</f>
      </c>
    </row>
    <row r="941" spans="1:1" x14ac:dyDescent="0.25">
      <c r="A941">
        <f>IFERROR(Preparos!A442,"")</f>
      </c>
    </row>
    <row r="942" spans="1:1" x14ac:dyDescent="0.25">
      <c r="A942">
        <f>IFERROR(Preparos!A443,"")</f>
      </c>
    </row>
    <row r="943" spans="1:1" x14ac:dyDescent="0.25">
      <c r="A943">
        <f>IFERROR(Preparos!A444,"")</f>
      </c>
    </row>
    <row r="944" spans="1:1" x14ac:dyDescent="0.25">
      <c r="A944">
        <f>IFERROR(Preparos!A445,"")</f>
      </c>
    </row>
    <row r="945" spans="1:1" x14ac:dyDescent="0.25">
      <c r="A945">
        <f>IFERROR(Preparos!A446,"")</f>
      </c>
    </row>
    <row r="946" spans="1:1" x14ac:dyDescent="0.25">
      <c r="A946">
        <f>IFERROR(Preparos!A447,"")</f>
      </c>
    </row>
    <row r="947" spans="1:1" x14ac:dyDescent="0.25">
      <c r="A947">
        <f>IFERROR(Preparos!A448,"")</f>
      </c>
    </row>
    <row r="948" spans="1:1" x14ac:dyDescent="0.25">
      <c r="A948">
        <f>IFERROR(Preparos!A449,"")</f>
      </c>
    </row>
    <row r="949" spans="1:1" x14ac:dyDescent="0.25">
      <c r="A949">
        <f>IFERROR(Preparos!A450,"")</f>
      </c>
    </row>
    <row r="950" spans="1:1" x14ac:dyDescent="0.25">
      <c r="A950">
        <f>IFERROR(Preparos!A451,"")</f>
      </c>
    </row>
    <row r="951" spans="1:1" x14ac:dyDescent="0.25">
      <c r="A951">
        <f>IFERROR(Preparos!A452,"")</f>
      </c>
    </row>
    <row r="952" spans="1:1" x14ac:dyDescent="0.25">
      <c r="A952">
        <f>IFERROR(Preparos!A453,"")</f>
      </c>
    </row>
    <row r="953" spans="1:1" x14ac:dyDescent="0.25">
      <c r="A953">
        <f>IFERROR(Preparos!A454,"")</f>
      </c>
    </row>
    <row r="954" spans="1:1" x14ac:dyDescent="0.25">
      <c r="A954">
        <f>IFERROR(Preparos!A455,"")</f>
      </c>
    </row>
    <row r="955" spans="1:1" x14ac:dyDescent="0.25">
      <c r="A955">
        <f>IFERROR(Preparos!A456,"")</f>
      </c>
    </row>
    <row r="956" spans="1:1" x14ac:dyDescent="0.25">
      <c r="A956">
        <f>IFERROR(Preparos!A457,"")</f>
      </c>
    </row>
    <row r="957" spans="1:1" x14ac:dyDescent="0.25">
      <c r="A957">
        <f>IFERROR(Preparos!A458,"")</f>
      </c>
    </row>
    <row r="958" spans="1:1" x14ac:dyDescent="0.25">
      <c r="A958">
        <f>IFERROR(Preparos!A459,"")</f>
      </c>
    </row>
    <row r="959" spans="1:1" x14ac:dyDescent="0.25">
      <c r="A959">
        <f>IFERROR(Preparos!A460,"")</f>
      </c>
    </row>
    <row r="960" spans="1:1" x14ac:dyDescent="0.25">
      <c r="A960">
        <f>IFERROR(Preparos!A461,"")</f>
      </c>
    </row>
    <row r="961" spans="1:1" x14ac:dyDescent="0.25">
      <c r="A961">
        <f>IFERROR(Preparos!A462,"")</f>
      </c>
    </row>
    <row r="962" spans="1:1" x14ac:dyDescent="0.25">
      <c r="A962">
        <f>IFERROR(Preparos!A463,"")</f>
      </c>
    </row>
    <row r="963" spans="1:1" x14ac:dyDescent="0.25">
      <c r="A963">
        <f>IFERROR(Preparos!A464,"")</f>
      </c>
    </row>
    <row r="964" spans="1:1" x14ac:dyDescent="0.25">
      <c r="A964">
        <f>IFERROR(Preparos!A465,"")</f>
      </c>
    </row>
    <row r="965" spans="1:1" x14ac:dyDescent="0.25">
      <c r="A965">
        <f>IFERROR(Preparos!A466,"")</f>
      </c>
    </row>
    <row r="966" spans="1:1" x14ac:dyDescent="0.25">
      <c r="A966">
        <f>IFERROR(Preparos!A467,"")</f>
      </c>
    </row>
    <row r="967" spans="1:1" x14ac:dyDescent="0.25">
      <c r="A967">
        <f>IFERROR(Preparos!A468,"")</f>
      </c>
    </row>
    <row r="968" spans="1:1" x14ac:dyDescent="0.25">
      <c r="A968">
        <f>IFERROR(Preparos!A469,"")</f>
      </c>
    </row>
    <row r="969" spans="1:1" x14ac:dyDescent="0.25">
      <c r="A969">
        <f>IFERROR(Preparos!A470,"")</f>
      </c>
    </row>
    <row r="970" spans="1:1" x14ac:dyDescent="0.25">
      <c r="A970">
        <f>IFERROR(Preparos!A471,"")</f>
      </c>
    </row>
    <row r="971" spans="1:1" x14ac:dyDescent="0.25">
      <c r="A971">
        <f>IFERROR(Preparos!A472,"")</f>
      </c>
    </row>
    <row r="972" spans="1:1" x14ac:dyDescent="0.25">
      <c r="A972">
        <f>IFERROR(Preparos!A473,"")</f>
      </c>
    </row>
    <row r="973" spans="1:1" x14ac:dyDescent="0.25">
      <c r="A973">
        <f>IFERROR(Preparos!A474,"")</f>
      </c>
    </row>
    <row r="974" spans="1:1" x14ac:dyDescent="0.25">
      <c r="A974">
        <f>IFERROR(Preparos!A475,"")</f>
      </c>
    </row>
    <row r="975" spans="1:1" x14ac:dyDescent="0.25">
      <c r="A975">
        <f>IFERROR(Preparos!A476,"")</f>
      </c>
    </row>
    <row r="976" spans="1:1" x14ac:dyDescent="0.25">
      <c r="A976">
        <f>IFERROR(Preparos!A477,"")</f>
      </c>
    </row>
    <row r="977" spans="1:1" x14ac:dyDescent="0.25">
      <c r="A977">
        <f>IFERROR(Preparos!A478,"")</f>
      </c>
    </row>
    <row r="978" spans="1:1" x14ac:dyDescent="0.25">
      <c r="A978">
        <f>IFERROR(Preparos!A479,"")</f>
      </c>
    </row>
    <row r="979" spans="1:1" x14ac:dyDescent="0.25">
      <c r="A979">
        <f>IFERROR(Preparos!A480,"")</f>
      </c>
    </row>
    <row r="980" spans="1:1" x14ac:dyDescent="0.25">
      <c r="A980">
        <f>IFERROR(Preparos!A481,"")</f>
      </c>
    </row>
    <row r="981" spans="1:1" x14ac:dyDescent="0.25">
      <c r="A981">
        <f>IFERROR(Preparos!A482,"")</f>
      </c>
    </row>
    <row r="982" spans="1:1" x14ac:dyDescent="0.25">
      <c r="A982">
        <f>IFERROR(Preparos!A483,"")</f>
      </c>
    </row>
    <row r="983" spans="1:1" x14ac:dyDescent="0.25">
      <c r="A983">
        <f>IFERROR(Preparos!A484,"")</f>
      </c>
    </row>
    <row r="984" spans="1:1" x14ac:dyDescent="0.25">
      <c r="A984">
        <f>IFERROR(Preparos!A485,"")</f>
      </c>
    </row>
    <row r="985" spans="1:1" x14ac:dyDescent="0.25">
      <c r="A985">
        <f>IFERROR(Preparos!A486,"")</f>
      </c>
    </row>
    <row r="986" spans="1:1" x14ac:dyDescent="0.25">
      <c r="A986">
        <f>IFERROR(Preparos!A487,"")</f>
      </c>
    </row>
    <row r="987" spans="1:1" x14ac:dyDescent="0.25">
      <c r="A987">
        <f>IFERROR(Preparos!A488,"")</f>
      </c>
    </row>
    <row r="988" spans="1:1" x14ac:dyDescent="0.25">
      <c r="A988">
        <f>IFERROR(Preparos!A489,"")</f>
      </c>
    </row>
    <row r="989" spans="1:1" x14ac:dyDescent="0.25">
      <c r="A989">
        <f>IFERROR(Preparos!A490,"")</f>
      </c>
    </row>
    <row r="990" spans="1:1" x14ac:dyDescent="0.25">
      <c r="A990">
        <f>IFERROR(Preparos!A491,"")</f>
      </c>
    </row>
    <row r="991" spans="1:1" x14ac:dyDescent="0.25">
      <c r="A991">
        <f>IFERROR(Preparos!A492,"")</f>
      </c>
    </row>
    <row r="992" spans="1:1" x14ac:dyDescent="0.25">
      <c r="A992">
        <f>IFERROR(Preparos!A493,"")</f>
      </c>
    </row>
    <row r="993" spans="1:1" x14ac:dyDescent="0.25">
      <c r="A993">
        <f>IFERROR(Preparos!A494,"")</f>
      </c>
    </row>
    <row r="994" spans="1:1" x14ac:dyDescent="0.25">
      <c r="A994">
        <f>IFERROR(Preparos!A495,"")</f>
      </c>
    </row>
    <row r="995" spans="1:1" x14ac:dyDescent="0.25">
      <c r="A995">
        <f>IFERROR(Preparos!A496,"")</f>
      </c>
    </row>
    <row r="996" spans="1:1" x14ac:dyDescent="0.25">
      <c r="A996">
        <f>IFERROR(Preparos!A497,"")</f>
      </c>
    </row>
    <row r="997" spans="1:1" x14ac:dyDescent="0.25">
      <c r="A997">
        <f>IFERROR(Preparos!A498,"")</f>
      </c>
    </row>
    <row r="998" spans="1:1" x14ac:dyDescent="0.25">
      <c r="A998">
        <f>IFERROR(Preparos!A499,"")</f>
      </c>
    </row>
    <row r="999" spans="1:1" x14ac:dyDescent="0.25">
      <c r="A999">
        <f>IFERROR(Preparos!A500,"")</f>
      </c>
    </row>
    <row r="1000" spans="1:1" x14ac:dyDescent="0.25">
      <c r="A1000">
        <f>IFERROR(Fichas!A2,"")</f>
      </c>
    </row>
    <row r="1001" spans="1:1" x14ac:dyDescent="0.25">
      <c r="A1001">
        <f>IFERROR(Fichas!A3,"")</f>
      </c>
    </row>
    <row r="1002" spans="1:1" x14ac:dyDescent="0.25">
      <c r="A1002">
        <f>IFERROR(Fichas!A4,"")</f>
      </c>
    </row>
    <row r="1003" spans="1:1" x14ac:dyDescent="0.25">
      <c r="A1003">
        <f>IFERROR(Fichas!A5,"")</f>
      </c>
    </row>
    <row r="1004" spans="1:1" x14ac:dyDescent="0.25">
      <c r="A1004">
        <f>IFERROR(Fichas!A6,"")</f>
      </c>
    </row>
    <row r="1005" spans="1:1" x14ac:dyDescent="0.25">
      <c r="A1005">
        <f>IFERROR(Fichas!A7,"")</f>
      </c>
    </row>
    <row r="1006" spans="1:1" x14ac:dyDescent="0.25">
      <c r="A1006">
        <f>IFERROR(Fichas!A8,"")</f>
      </c>
    </row>
    <row r="1007" spans="1:1" x14ac:dyDescent="0.25">
      <c r="A1007">
        <f>IFERROR(Fichas!A9,"")</f>
      </c>
    </row>
    <row r="1008" spans="1:1" x14ac:dyDescent="0.25">
      <c r="A1008">
        <f>IFERROR(Fichas!A10,"")</f>
      </c>
    </row>
    <row r="1009" spans="1:1" x14ac:dyDescent="0.25">
      <c r="A1009">
        <f>IFERROR(Fichas!A11,"")</f>
      </c>
    </row>
    <row r="1010" spans="1:1" x14ac:dyDescent="0.25">
      <c r="A1010">
        <f>IFERROR(Fichas!A12,"")</f>
      </c>
    </row>
    <row r="1011" spans="1:1" x14ac:dyDescent="0.25">
      <c r="A1011">
        <f>IFERROR(Fichas!A13,"")</f>
      </c>
    </row>
    <row r="1012" spans="1:1" x14ac:dyDescent="0.25">
      <c r="A1012">
        <f>IFERROR(Fichas!A14,"")</f>
      </c>
    </row>
    <row r="1013" spans="1:1" x14ac:dyDescent="0.25">
      <c r="A1013">
        <f>IFERROR(Fichas!A15,"")</f>
      </c>
    </row>
    <row r="1014" spans="1:1" x14ac:dyDescent="0.25">
      <c r="A1014">
        <f>IFERROR(Fichas!A16,"")</f>
      </c>
    </row>
    <row r="1015" spans="1:1" x14ac:dyDescent="0.25">
      <c r="A1015">
        <f>IFERROR(Fichas!A17,"")</f>
      </c>
    </row>
    <row r="1016" spans="1:1" x14ac:dyDescent="0.25">
      <c r="A1016">
        <f>IFERROR(Fichas!A18,"")</f>
      </c>
    </row>
    <row r="1017" spans="1:1" x14ac:dyDescent="0.25">
      <c r="A1017">
        <f>IFERROR(Fichas!A19,"")</f>
      </c>
    </row>
    <row r="1018" spans="1:1" x14ac:dyDescent="0.25">
      <c r="A1018">
        <f>IFERROR(Fichas!A20,"")</f>
      </c>
    </row>
    <row r="1019" spans="1:1" x14ac:dyDescent="0.25">
      <c r="A1019">
        <f>IFERROR(Fichas!A21,"")</f>
      </c>
    </row>
    <row r="1020" spans="1:1" x14ac:dyDescent="0.25">
      <c r="A1020">
        <f>IFERROR(Fichas!A22,"")</f>
      </c>
    </row>
    <row r="1021" spans="1:1" x14ac:dyDescent="0.25">
      <c r="A1021">
        <f>IFERROR(Fichas!A23,"")</f>
      </c>
    </row>
    <row r="1022" spans="1:1" x14ac:dyDescent="0.25">
      <c r="A1022">
        <f>IFERROR(Fichas!A24,"")</f>
      </c>
    </row>
    <row r="1023" spans="1:1" x14ac:dyDescent="0.25">
      <c r="A1023">
        <f>IFERROR(Fichas!A25,"")</f>
      </c>
    </row>
    <row r="1024" spans="1:1" x14ac:dyDescent="0.25">
      <c r="A1024">
        <f>IFERROR(Fichas!A26,"")</f>
      </c>
    </row>
    <row r="1025" spans="1:1" x14ac:dyDescent="0.25">
      <c r="A1025">
        <f>IFERROR(Fichas!A27,"")</f>
      </c>
    </row>
    <row r="1026" spans="1:1" x14ac:dyDescent="0.25">
      <c r="A1026">
        <f>IFERROR(Fichas!A28,"")</f>
      </c>
    </row>
    <row r="1027" spans="1:1" x14ac:dyDescent="0.25">
      <c r="A1027">
        <f>IFERROR(Fichas!A29,"")</f>
      </c>
    </row>
    <row r="1028" spans="1:1" x14ac:dyDescent="0.25">
      <c r="A1028">
        <f>IFERROR(Fichas!A30,"")</f>
      </c>
    </row>
    <row r="1029" spans="1:1" x14ac:dyDescent="0.25">
      <c r="A1029">
        <f>IFERROR(Fichas!A31,"")</f>
      </c>
    </row>
    <row r="1030" spans="1:1" x14ac:dyDescent="0.25">
      <c r="A1030">
        <f>IFERROR(Fichas!A32,"")</f>
      </c>
    </row>
    <row r="1031" spans="1:1" x14ac:dyDescent="0.25">
      <c r="A1031">
        <f>IFERROR(Fichas!A33,"")</f>
      </c>
    </row>
    <row r="1032" spans="1:1" x14ac:dyDescent="0.25">
      <c r="A1032">
        <f>IFERROR(Fichas!A34,"")</f>
      </c>
    </row>
    <row r="1033" spans="1:1" x14ac:dyDescent="0.25">
      <c r="A1033">
        <f>IFERROR(Fichas!A35,"")</f>
      </c>
    </row>
    <row r="1034" spans="1:1" x14ac:dyDescent="0.25">
      <c r="A1034">
        <f>IFERROR(Fichas!A36,"")</f>
      </c>
    </row>
    <row r="1035" spans="1:1" x14ac:dyDescent="0.25">
      <c r="A1035">
        <f>IFERROR(Fichas!A37,"")</f>
      </c>
    </row>
    <row r="1036" spans="1:1" x14ac:dyDescent="0.25">
      <c r="A1036">
        <f>IFERROR(Fichas!A38,"")</f>
      </c>
    </row>
    <row r="1037" spans="1:1" x14ac:dyDescent="0.25">
      <c r="A1037">
        <f>IFERROR(Fichas!A39,"")</f>
      </c>
    </row>
    <row r="1038" spans="1:1" x14ac:dyDescent="0.25">
      <c r="A1038">
        <f>IFERROR(Fichas!A40,"")</f>
      </c>
    </row>
    <row r="1039" spans="1:1" x14ac:dyDescent="0.25">
      <c r="A1039">
        <f>IFERROR(Fichas!A41,"")</f>
      </c>
    </row>
    <row r="1040" spans="1:1" x14ac:dyDescent="0.25">
      <c r="A1040">
        <f>IFERROR(Fichas!A42,"")</f>
      </c>
    </row>
    <row r="1041" spans="1:1" x14ac:dyDescent="0.25">
      <c r="A1041">
        <f>IFERROR(Fichas!A43,"")</f>
      </c>
    </row>
    <row r="1042" spans="1:1" x14ac:dyDescent="0.25">
      <c r="A1042">
        <f>IFERROR(Fichas!A44,"")</f>
      </c>
    </row>
    <row r="1043" spans="1:1" x14ac:dyDescent="0.25">
      <c r="A1043">
        <f>IFERROR(Fichas!A45,"")</f>
      </c>
    </row>
    <row r="1044" spans="1:1" x14ac:dyDescent="0.25">
      <c r="A1044">
        <f>IFERROR(Fichas!A46,"")</f>
      </c>
    </row>
    <row r="1045" spans="1:1" x14ac:dyDescent="0.25">
      <c r="A1045">
        <f>IFERROR(Fichas!A47,"")</f>
      </c>
    </row>
    <row r="1046" spans="1:1" x14ac:dyDescent="0.25">
      <c r="A1046">
        <f>IFERROR(Fichas!A48,"")</f>
      </c>
    </row>
    <row r="1047" spans="1:1" x14ac:dyDescent="0.25">
      <c r="A1047">
        <f>IFERROR(Fichas!A49,"")</f>
      </c>
    </row>
    <row r="1048" spans="1:1" x14ac:dyDescent="0.25">
      <c r="A1048">
        <f>IFERROR(Fichas!A50,"")</f>
      </c>
    </row>
    <row r="1049" spans="1:1" x14ac:dyDescent="0.25">
      <c r="A1049">
        <f>IFERROR(Fichas!A51,"")</f>
      </c>
    </row>
    <row r="1050" spans="1:1" x14ac:dyDescent="0.25">
      <c r="A1050">
        <f>IFERROR(Fichas!A52,"")</f>
      </c>
    </row>
    <row r="1051" spans="1:1" x14ac:dyDescent="0.25">
      <c r="A1051">
        <f>IFERROR(Fichas!A53,"")</f>
      </c>
    </row>
    <row r="1052" spans="1:1" x14ac:dyDescent="0.25">
      <c r="A1052">
        <f>IFERROR(Fichas!A54,"")</f>
      </c>
    </row>
    <row r="1053" spans="1:1" x14ac:dyDescent="0.25">
      <c r="A1053">
        <f>IFERROR(Fichas!A55,"")</f>
      </c>
    </row>
    <row r="1054" spans="1:1" x14ac:dyDescent="0.25">
      <c r="A1054">
        <f>IFERROR(Fichas!A56,"")</f>
      </c>
    </row>
    <row r="1055" spans="1:1" x14ac:dyDescent="0.25">
      <c r="A1055">
        <f>IFERROR(Fichas!A57,"")</f>
      </c>
    </row>
    <row r="1056" spans="1:1" x14ac:dyDescent="0.25">
      <c r="A1056">
        <f>IFERROR(Fichas!A58,"")</f>
      </c>
    </row>
    <row r="1057" spans="1:1" x14ac:dyDescent="0.25">
      <c r="A1057">
        <f>IFERROR(Fichas!A59,"")</f>
      </c>
    </row>
    <row r="1058" spans="1:1" x14ac:dyDescent="0.25">
      <c r="A1058">
        <f>IFERROR(Fichas!A60,"")</f>
      </c>
    </row>
    <row r="1059" spans="1:1" x14ac:dyDescent="0.25">
      <c r="A1059">
        <f>IFERROR(Fichas!A61,"")</f>
      </c>
    </row>
    <row r="1060" spans="1:1" x14ac:dyDescent="0.25">
      <c r="A1060">
        <f>IFERROR(Fichas!A62,"")</f>
      </c>
    </row>
    <row r="1061" spans="1:1" x14ac:dyDescent="0.25">
      <c r="A1061">
        <f>IFERROR(Fichas!A63,"")</f>
      </c>
    </row>
    <row r="1062" spans="1:1" x14ac:dyDescent="0.25">
      <c r="A1062">
        <f>IFERROR(Fichas!A64,"")</f>
      </c>
    </row>
    <row r="1063" spans="1:1" x14ac:dyDescent="0.25">
      <c r="A1063">
        <f>IFERROR(Fichas!A65,"")</f>
      </c>
    </row>
    <row r="1064" spans="1:1" x14ac:dyDescent="0.25">
      <c r="A1064">
        <f>IFERROR(Fichas!A66,"")</f>
      </c>
    </row>
    <row r="1065" spans="1:1" x14ac:dyDescent="0.25">
      <c r="A1065">
        <f>IFERROR(Fichas!A67,"")</f>
      </c>
    </row>
    <row r="1066" spans="1:1" x14ac:dyDescent="0.25">
      <c r="A1066">
        <f>IFERROR(Fichas!A68,"")</f>
      </c>
    </row>
    <row r="1067" spans="1:1" x14ac:dyDescent="0.25">
      <c r="A1067">
        <f>IFERROR(Fichas!A69,"")</f>
      </c>
    </row>
    <row r="1068" spans="1:1" x14ac:dyDescent="0.25">
      <c r="A1068">
        <f>IFERROR(Fichas!A70,"")</f>
      </c>
    </row>
    <row r="1069" spans="1:1" x14ac:dyDescent="0.25">
      <c r="A1069">
        <f>IFERROR(Fichas!A71,"")</f>
      </c>
    </row>
    <row r="1070" spans="1:1" x14ac:dyDescent="0.25">
      <c r="A1070">
        <f>IFERROR(Fichas!A72,"")</f>
      </c>
    </row>
    <row r="1071" spans="1:1" x14ac:dyDescent="0.25">
      <c r="A1071">
        <f>IFERROR(Fichas!A73,"")</f>
      </c>
    </row>
    <row r="1072" spans="1:1" x14ac:dyDescent="0.25">
      <c r="A1072">
        <f>IFERROR(Fichas!A74,"")</f>
      </c>
    </row>
    <row r="1073" spans="1:1" x14ac:dyDescent="0.25">
      <c r="A1073">
        <f>IFERROR(Fichas!A75,"")</f>
      </c>
    </row>
    <row r="1074" spans="1:1" x14ac:dyDescent="0.25">
      <c r="A1074">
        <f>IFERROR(Fichas!A76,"")</f>
      </c>
    </row>
    <row r="1075" spans="1:1" x14ac:dyDescent="0.25">
      <c r="A1075">
        <f>IFERROR(Fichas!A77,"")</f>
      </c>
    </row>
    <row r="1076" spans="1:1" x14ac:dyDescent="0.25">
      <c r="A1076">
        <f>IFERROR(Fichas!A78,"")</f>
      </c>
    </row>
    <row r="1077" spans="1:1" x14ac:dyDescent="0.25">
      <c r="A1077">
        <f>IFERROR(Fichas!A79,"")</f>
      </c>
    </row>
    <row r="1078" spans="1:1" x14ac:dyDescent="0.25">
      <c r="A1078">
        <f>IFERROR(Fichas!A80,"")</f>
      </c>
    </row>
    <row r="1079" spans="1:1" x14ac:dyDescent="0.25">
      <c r="A1079">
        <f>IFERROR(Fichas!A81,"")</f>
      </c>
    </row>
    <row r="1080" spans="1:1" x14ac:dyDescent="0.25">
      <c r="A1080">
        <f>IFERROR(Fichas!A82,"")</f>
      </c>
    </row>
    <row r="1081" spans="1:1" x14ac:dyDescent="0.25">
      <c r="A1081">
        <f>IFERROR(Fichas!A83,"")</f>
      </c>
    </row>
    <row r="1082" spans="1:1" x14ac:dyDescent="0.25">
      <c r="A1082">
        <f>IFERROR(Fichas!A84,"")</f>
      </c>
    </row>
    <row r="1083" spans="1:1" x14ac:dyDescent="0.25">
      <c r="A1083">
        <f>IFERROR(Fichas!A85,"")</f>
      </c>
    </row>
    <row r="1084" spans="1:1" x14ac:dyDescent="0.25">
      <c r="A1084">
        <f>IFERROR(Fichas!A86,"")</f>
      </c>
    </row>
    <row r="1085" spans="1:1" x14ac:dyDescent="0.25">
      <c r="A1085">
        <f>IFERROR(Fichas!A87,"")</f>
      </c>
    </row>
    <row r="1086" spans="1:1" x14ac:dyDescent="0.25">
      <c r="A1086">
        <f>IFERROR(Fichas!A88,"")</f>
      </c>
    </row>
    <row r="1087" spans="1:1" x14ac:dyDescent="0.25">
      <c r="A1087">
        <f>IFERROR(Fichas!A89,"")</f>
      </c>
    </row>
    <row r="1088" spans="1:1" x14ac:dyDescent="0.25">
      <c r="A1088">
        <f>IFERROR(Fichas!A90,"")</f>
      </c>
    </row>
    <row r="1089" spans="1:1" x14ac:dyDescent="0.25">
      <c r="A1089">
        <f>IFERROR(Fichas!A91,"")</f>
      </c>
    </row>
    <row r="1090" spans="1:1" x14ac:dyDescent="0.25">
      <c r="A1090">
        <f>IFERROR(Fichas!A92,"")</f>
      </c>
    </row>
    <row r="1091" spans="1:1" x14ac:dyDescent="0.25">
      <c r="A1091">
        <f>IFERROR(Fichas!A93,"")</f>
      </c>
    </row>
    <row r="1092" spans="1:1" x14ac:dyDescent="0.25">
      <c r="A1092">
        <f>IFERROR(Fichas!A94,"")</f>
      </c>
    </row>
    <row r="1093" spans="1:1" x14ac:dyDescent="0.25">
      <c r="A1093">
        <f>IFERROR(Fichas!A95,"")</f>
      </c>
    </row>
    <row r="1094" spans="1:1" x14ac:dyDescent="0.25">
      <c r="A1094">
        <f>IFERROR(Fichas!A96,"")</f>
      </c>
    </row>
    <row r="1095" spans="1:1" x14ac:dyDescent="0.25">
      <c r="A1095">
        <f>IFERROR(Fichas!A97,"")</f>
      </c>
    </row>
    <row r="1096" spans="1:1" x14ac:dyDescent="0.25">
      <c r="A1096">
        <f>IFERROR(Fichas!A98,"")</f>
      </c>
    </row>
    <row r="1097" spans="1:1" x14ac:dyDescent="0.25">
      <c r="A1097">
        <f>IFERROR(Fichas!A99,"")</f>
      </c>
    </row>
    <row r="1098" spans="1:1" x14ac:dyDescent="0.25">
      <c r="A1098">
        <f>IFERROR(Fichas!A100,"")</f>
      </c>
    </row>
    <row r="1099" spans="1:1" x14ac:dyDescent="0.25">
      <c r="A1099">
        <f>IFERROR(Fichas!A101,"")</f>
      </c>
    </row>
    <row r="1100" spans="1:1" x14ac:dyDescent="0.25">
      <c r="A1100">
        <f>IFERROR(Fichas!A102,"")</f>
      </c>
    </row>
    <row r="1101" spans="1:1" x14ac:dyDescent="0.25">
      <c r="A1101">
        <f>IFERROR(Fichas!A103,"")</f>
      </c>
    </row>
    <row r="1102" spans="1:1" x14ac:dyDescent="0.25">
      <c r="A1102">
        <f>IFERROR(Fichas!A104,"")</f>
      </c>
    </row>
    <row r="1103" spans="1:1" x14ac:dyDescent="0.25">
      <c r="A1103">
        <f>IFERROR(Fichas!A105,"")</f>
      </c>
    </row>
    <row r="1104" spans="1:1" x14ac:dyDescent="0.25">
      <c r="A1104">
        <f>IFERROR(Fichas!A106,"")</f>
      </c>
    </row>
    <row r="1105" spans="1:1" x14ac:dyDescent="0.25">
      <c r="A1105">
        <f>IFERROR(Fichas!A107,"")</f>
      </c>
    </row>
    <row r="1106" spans="1:1" x14ac:dyDescent="0.25">
      <c r="A1106">
        <f>IFERROR(Fichas!A108,"")</f>
      </c>
    </row>
    <row r="1107" spans="1:1" x14ac:dyDescent="0.25">
      <c r="A1107">
        <f>IFERROR(Fichas!A109,"")</f>
      </c>
    </row>
    <row r="1108" spans="1:1" x14ac:dyDescent="0.25">
      <c r="A1108">
        <f>IFERROR(Fichas!A110,"")</f>
      </c>
    </row>
    <row r="1109" spans="1:1" x14ac:dyDescent="0.25">
      <c r="A1109">
        <f>IFERROR(Fichas!A111,"")</f>
      </c>
    </row>
    <row r="1110" spans="1:1" x14ac:dyDescent="0.25">
      <c r="A1110">
        <f>IFERROR(Fichas!A112,"")</f>
      </c>
    </row>
    <row r="1111" spans="1:1" x14ac:dyDescent="0.25">
      <c r="A1111">
        <f>IFERROR(Fichas!A113,"")</f>
      </c>
    </row>
    <row r="1112" spans="1:1" x14ac:dyDescent="0.25">
      <c r="A1112">
        <f>IFERROR(Fichas!A114,"")</f>
      </c>
    </row>
    <row r="1113" spans="1:1" x14ac:dyDescent="0.25">
      <c r="A1113">
        <f>IFERROR(Fichas!A115,"")</f>
      </c>
    </row>
    <row r="1114" spans="1:1" x14ac:dyDescent="0.25">
      <c r="A1114">
        <f>IFERROR(Fichas!A116,"")</f>
      </c>
    </row>
    <row r="1115" spans="1:1" x14ac:dyDescent="0.25">
      <c r="A1115">
        <f>IFERROR(Fichas!A117,"")</f>
      </c>
    </row>
    <row r="1116" spans="1:1" x14ac:dyDescent="0.25">
      <c r="A1116">
        <f>IFERROR(Fichas!A118,"")</f>
      </c>
    </row>
    <row r="1117" spans="1:1" x14ac:dyDescent="0.25">
      <c r="A1117">
        <f>IFERROR(Fichas!A119,"")</f>
      </c>
    </row>
    <row r="1118" spans="1:1" x14ac:dyDescent="0.25">
      <c r="A1118">
        <f>IFERROR(Fichas!A120,"")</f>
      </c>
    </row>
    <row r="1119" spans="1:1" x14ac:dyDescent="0.25">
      <c r="A1119">
        <f>IFERROR(Fichas!A121,"")</f>
      </c>
    </row>
    <row r="1120" spans="1:1" x14ac:dyDescent="0.25">
      <c r="A1120">
        <f>IFERROR(Fichas!A122,"")</f>
      </c>
    </row>
    <row r="1121" spans="1:1" x14ac:dyDescent="0.25">
      <c r="A1121">
        <f>IFERROR(Fichas!A123,"")</f>
      </c>
    </row>
    <row r="1122" spans="1:1" x14ac:dyDescent="0.25">
      <c r="A1122">
        <f>IFERROR(Fichas!A124,"")</f>
      </c>
    </row>
    <row r="1123" spans="1:1" x14ac:dyDescent="0.25">
      <c r="A1123">
        <f>IFERROR(Fichas!A125,"")</f>
      </c>
    </row>
    <row r="1124" spans="1:1" x14ac:dyDescent="0.25">
      <c r="A1124">
        <f>IFERROR(Fichas!A126,"")</f>
      </c>
    </row>
    <row r="1125" spans="1:1" x14ac:dyDescent="0.25">
      <c r="A1125">
        <f>IFERROR(Fichas!A127,"")</f>
      </c>
    </row>
    <row r="1126" spans="1:1" x14ac:dyDescent="0.25">
      <c r="A1126">
        <f>IFERROR(Fichas!A128,"")</f>
      </c>
    </row>
    <row r="1127" spans="1:1" x14ac:dyDescent="0.25">
      <c r="A1127">
        <f>IFERROR(Fichas!A129,"")</f>
      </c>
    </row>
    <row r="1128" spans="1:1" x14ac:dyDescent="0.25">
      <c r="A1128">
        <f>IFERROR(Fichas!A130,"")</f>
      </c>
    </row>
    <row r="1129" spans="1:1" x14ac:dyDescent="0.25">
      <c r="A1129">
        <f>IFERROR(Fichas!A131,"")</f>
      </c>
    </row>
    <row r="1130" spans="1:1" x14ac:dyDescent="0.25">
      <c r="A1130">
        <f>IFERROR(Fichas!A132,"")</f>
      </c>
    </row>
    <row r="1131" spans="1:1" x14ac:dyDescent="0.25">
      <c r="A1131">
        <f>IFERROR(Fichas!A133,"")</f>
      </c>
    </row>
    <row r="1132" spans="1:1" x14ac:dyDescent="0.25">
      <c r="A1132">
        <f>IFERROR(Fichas!A134,"")</f>
      </c>
    </row>
    <row r="1133" spans="1:1" x14ac:dyDescent="0.25">
      <c r="A1133">
        <f>IFERROR(Fichas!A135,"")</f>
      </c>
    </row>
    <row r="1134" spans="1:1" x14ac:dyDescent="0.25">
      <c r="A1134">
        <f>IFERROR(Fichas!A136,"")</f>
      </c>
    </row>
    <row r="1135" spans="1:1" x14ac:dyDescent="0.25">
      <c r="A1135">
        <f>IFERROR(Fichas!A137,"")</f>
      </c>
    </row>
    <row r="1136" spans="1:1" x14ac:dyDescent="0.25">
      <c r="A1136">
        <f>IFERROR(Fichas!A138,"")</f>
      </c>
    </row>
    <row r="1137" spans="1:1" x14ac:dyDescent="0.25">
      <c r="A1137">
        <f>IFERROR(Fichas!A139,"")</f>
      </c>
    </row>
    <row r="1138" spans="1:1" x14ac:dyDescent="0.25">
      <c r="A1138">
        <f>IFERROR(Fichas!A140,"")</f>
      </c>
    </row>
    <row r="1139" spans="1:1" x14ac:dyDescent="0.25">
      <c r="A1139">
        <f>IFERROR(Fichas!A141,"")</f>
      </c>
    </row>
    <row r="1140" spans="1:1" x14ac:dyDescent="0.25">
      <c r="A1140">
        <f>IFERROR(Fichas!A142,"")</f>
      </c>
    </row>
    <row r="1141" spans="1:1" x14ac:dyDescent="0.25">
      <c r="A1141">
        <f>IFERROR(Fichas!A143,"")</f>
      </c>
    </row>
    <row r="1142" spans="1:1" x14ac:dyDescent="0.25">
      <c r="A1142">
        <f>IFERROR(Fichas!A144,"")</f>
      </c>
    </row>
    <row r="1143" spans="1:1" x14ac:dyDescent="0.25">
      <c r="A1143">
        <f>IFERROR(Fichas!A145,"")</f>
      </c>
    </row>
    <row r="1144" spans="1:1" x14ac:dyDescent="0.25">
      <c r="A1144">
        <f>IFERROR(Fichas!A146,"")</f>
      </c>
    </row>
    <row r="1145" spans="1:1" x14ac:dyDescent="0.25">
      <c r="A1145">
        <f>IFERROR(Fichas!A147,"")</f>
      </c>
    </row>
    <row r="1146" spans="1:1" x14ac:dyDescent="0.25">
      <c r="A1146">
        <f>IFERROR(Fichas!A148,"")</f>
      </c>
    </row>
    <row r="1147" spans="1:1" x14ac:dyDescent="0.25">
      <c r="A1147">
        <f>IFERROR(Fichas!A149,"")</f>
      </c>
    </row>
    <row r="1148" spans="1:1" x14ac:dyDescent="0.25">
      <c r="A1148">
        <f>IFERROR(Fichas!A150,"")</f>
      </c>
    </row>
    <row r="1149" spans="1:1" x14ac:dyDescent="0.25">
      <c r="A1149">
        <f>IFERROR(Fichas!A151,"")</f>
      </c>
    </row>
    <row r="1150" spans="1:1" x14ac:dyDescent="0.25">
      <c r="A1150">
        <f>IFERROR(Fichas!A152,"")</f>
      </c>
    </row>
    <row r="1151" spans="1:1" x14ac:dyDescent="0.25">
      <c r="A1151">
        <f>IFERROR(Fichas!A153,"")</f>
      </c>
    </row>
    <row r="1152" spans="1:1" x14ac:dyDescent="0.25">
      <c r="A1152">
        <f>IFERROR(Fichas!A154,"")</f>
      </c>
    </row>
    <row r="1153" spans="1:1" x14ac:dyDescent="0.25">
      <c r="A1153">
        <f>IFERROR(Fichas!A155,"")</f>
      </c>
    </row>
    <row r="1154" spans="1:1" x14ac:dyDescent="0.25">
      <c r="A1154">
        <f>IFERROR(Fichas!A156,"")</f>
      </c>
    </row>
    <row r="1155" spans="1:1" x14ac:dyDescent="0.25">
      <c r="A1155">
        <f>IFERROR(Fichas!A157,"")</f>
      </c>
    </row>
    <row r="1156" spans="1:1" x14ac:dyDescent="0.25">
      <c r="A1156">
        <f>IFERROR(Fichas!A158,"")</f>
      </c>
    </row>
    <row r="1157" spans="1:1" x14ac:dyDescent="0.25">
      <c r="A1157">
        <f>IFERROR(Fichas!A159,"")</f>
      </c>
    </row>
    <row r="1158" spans="1:1" x14ac:dyDescent="0.25">
      <c r="A1158">
        <f>IFERROR(Fichas!A160,"")</f>
      </c>
    </row>
    <row r="1159" spans="1:1" x14ac:dyDescent="0.25">
      <c r="A1159">
        <f>IFERROR(Fichas!A161,"")</f>
      </c>
    </row>
    <row r="1160" spans="1:1" x14ac:dyDescent="0.25">
      <c r="A1160">
        <f>IFERROR(Fichas!A162,"")</f>
      </c>
    </row>
    <row r="1161" spans="1:1" x14ac:dyDescent="0.25">
      <c r="A1161">
        <f>IFERROR(Fichas!A163,"")</f>
      </c>
    </row>
    <row r="1162" spans="1:1" x14ac:dyDescent="0.25">
      <c r="A1162">
        <f>IFERROR(Fichas!A164,"")</f>
      </c>
    </row>
    <row r="1163" spans="1:1" x14ac:dyDescent="0.25">
      <c r="A1163">
        <f>IFERROR(Fichas!A165,"")</f>
      </c>
    </row>
    <row r="1164" spans="1:1" x14ac:dyDescent="0.25">
      <c r="A1164">
        <f>IFERROR(Fichas!A166,"")</f>
      </c>
    </row>
    <row r="1165" spans="1:1" x14ac:dyDescent="0.25">
      <c r="A1165">
        <f>IFERROR(Fichas!A167,"")</f>
      </c>
    </row>
    <row r="1166" spans="1:1" x14ac:dyDescent="0.25">
      <c r="A1166">
        <f>IFERROR(Fichas!A168,"")</f>
      </c>
    </row>
    <row r="1167" spans="1:1" x14ac:dyDescent="0.25">
      <c r="A1167">
        <f>IFERROR(Fichas!A169,"")</f>
      </c>
    </row>
    <row r="1168" spans="1:1" x14ac:dyDescent="0.25">
      <c r="A1168">
        <f>IFERROR(Fichas!A170,"")</f>
      </c>
    </row>
    <row r="1169" spans="1:1" x14ac:dyDescent="0.25">
      <c r="A1169">
        <f>IFERROR(Fichas!A171,"")</f>
      </c>
    </row>
    <row r="1170" spans="1:1" x14ac:dyDescent="0.25">
      <c r="A1170">
        <f>IFERROR(Fichas!A172,"")</f>
      </c>
    </row>
    <row r="1171" spans="1:1" x14ac:dyDescent="0.25">
      <c r="A1171">
        <f>IFERROR(Fichas!A173,"")</f>
      </c>
    </row>
    <row r="1172" spans="1:1" x14ac:dyDescent="0.25">
      <c r="A1172">
        <f>IFERROR(Fichas!A174,"")</f>
      </c>
    </row>
    <row r="1173" spans="1:1" x14ac:dyDescent="0.25">
      <c r="A1173">
        <f>IFERROR(Fichas!A175,"")</f>
      </c>
    </row>
    <row r="1174" spans="1:1" x14ac:dyDescent="0.25">
      <c r="A1174">
        <f>IFERROR(Fichas!A176,"")</f>
      </c>
    </row>
    <row r="1175" spans="1:1" x14ac:dyDescent="0.25">
      <c r="A1175">
        <f>IFERROR(Fichas!A177,"")</f>
      </c>
    </row>
    <row r="1176" spans="1:1" x14ac:dyDescent="0.25">
      <c r="A1176">
        <f>IFERROR(Fichas!A178,"")</f>
      </c>
    </row>
    <row r="1177" spans="1:1" x14ac:dyDescent="0.25">
      <c r="A1177">
        <f>IFERROR(Fichas!A179,"")</f>
      </c>
    </row>
    <row r="1178" spans="1:1" x14ac:dyDescent="0.25">
      <c r="A1178">
        <f>IFERROR(Fichas!A180,"")</f>
      </c>
    </row>
    <row r="1179" spans="1:1" x14ac:dyDescent="0.25">
      <c r="A1179">
        <f>IFERROR(Fichas!A181,"")</f>
      </c>
    </row>
    <row r="1180" spans="1:1" x14ac:dyDescent="0.25">
      <c r="A1180">
        <f>IFERROR(Fichas!A182,"")</f>
      </c>
    </row>
    <row r="1181" spans="1:1" x14ac:dyDescent="0.25">
      <c r="A1181">
        <f>IFERROR(Fichas!A183,"")</f>
      </c>
    </row>
    <row r="1182" spans="1:1" x14ac:dyDescent="0.25">
      <c r="A1182">
        <f>IFERROR(Fichas!A184,"")</f>
      </c>
    </row>
    <row r="1183" spans="1:1" x14ac:dyDescent="0.25">
      <c r="A1183">
        <f>IFERROR(Fichas!A185,"")</f>
      </c>
    </row>
    <row r="1184" spans="1:1" x14ac:dyDescent="0.25">
      <c r="A1184">
        <f>IFERROR(Fichas!A186,"")</f>
      </c>
    </row>
    <row r="1185" spans="1:1" x14ac:dyDescent="0.25">
      <c r="A1185">
        <f>IFERROR(Fichas!A187,"")</f>
      </c>
    </row>
    <row r="1186" spans="1:1" x14ac:dyDescent="0.25">
      <c r="A1186">
        <f>IFERROR(Fichas!A188,"")</f>
      </c>
    </row>
    <row r="1187" spans="1:1" x14ac:dyDescent="0.25">
      <c r="A1187">
        <f>IFERROR(Fichas!A189,"")</f>
      </c>
    </row>
    <row r="1188" spans="1:1" x14ac:dyDescent="0.25">
      <c r="A1188">
        <f>IFERROR(Fichas!A190,"")</f>
      </c>
    </row>
    <row r="1189" spans="1:1" x14ac:dyDescent="0.25">
      <c r="A1189">
        <f>IFERROR(Fichas!A191,"")</f>
      </c>
    </row>
    <row r="1190" spans="1:1" x14ac:dyDescent="0.25">
      <c r="A1190">
        <f>IFERROR(Fichas!A192,"")</f>
      </c>
    </row>
    <row r="1191" spans="1:1" x14ac:dyDescent="0.25">
      <c r="A1191">
        <f>IFERROR(Fichas!A193,"")</f>
      </c>
    </row>
    <row r="1192" spans="1:1" x14ac:dyDescent="0.25">
      <c r="A1192">
        <f>IFERROR(Fichas!A194,"")</f>
      </c>
    </row>
    <row r="1193" spans="1:1" x14ac:dyDescent="0.25">
      <c r="A1193">
        <f>IFERROR(Fichas!A195,"")</f>
      </c>
    </row>
    <row r="1194" spans="1:1" x14ac:dyDescent="0.25">
      <c r="A1194">
        <f>IFERROR(Fichas!A196,"")</f>
      </c>
    </row>
    <row r="1195" spans="1:1" x14ac:dyDescent="0.25">
      <c r="A1195">
        <f>IFERROR(Fichas!A197,"")</f>
      </c>
    </row>
    <row r="1196" spans="1:1" x14ac:dyDescent="0.25">
      <c r="A1196">
        <f>IFERROR(Fichas!A198,"")</f>
      </c>
    </row>
    <row r="1197" spans="1:1" x14ac:dyDescent="0.25">
      <c r="A1197">
        <f>IFERROR(Fichas!A199,"")</f>
      </c>
    </row>
    <row r="1198" spans="1:1" x14ac:dyDescent="0.25">
      <c r="A1198">
        <f>IFERROR(Fichas!A200,"")</f>
      </c>
    </row>
    <row r="1199" spans="1:1" x14ac:dyDescent="0.25">
      <c r="A1199">
        <f>IFERROR(Fichas!A201,"")</f>
      </c>
    </row>
    <row r="1200" spans="1:1" x14ac:dyDescent="0.25">
      <c r="A1200">
        <f>IFERROR(Fichas!A202,"")</f>
      </c>
    </row>
    <row r="1201" spans="1:1" x14ac:dyDescent="0.25">
      <c r="A1201">
        <f>IFERROR(Fichas!A203,"")</f>
      </c>
    </row>
    <row r="1202" spans="1:1" x14ac:dyDescent="0.25">
      <c r="A1202">
        <f>IFERROR(Fichas!A204,"")</f>
      </c>
    </row>
    <row r="1203" spans="1:1" x14ac:dyDescent="0.25">
      <c r="A1203">
        <f>IFERROR(Fichas!A205,"")</f>
      </c>
    </row>
    <row r="1204" spans="1:1" x14ac:dyDescent="0.25">
      <c r="A1204">
        <f>IFERROR(Fichas!A206,"")</f>
      </c>
    </row>
    <row r="1205" spans="1:1" x14ac:dyDescent="0.25">
      <c r="A1205">
        <f>IFERROR(Fichas!A207,"")</f>
      </c>
    </row>
    <row r="1206" spans="1:1" x14ac:dyDescent="0.25">
      <c r="A1206">
        <f>IFERROR(Fichas!A208,"")</f>
      </c>
    </row>
    <row r="1207" spans="1:1" x14ac:dyDescent="0.25">
      <c r="A1207">
        <f>IFERROR(Fichas!A209,"")</f>
      </c>
    </row>
    <row r="1208" spans="1:1" x14ac:dyDescent="0.25">
      <c r="A1208">
        <f>IFERROR(Fichas!A210,"")</f>
      </c>
    </row>
    <row r="1209" spans="1:1" x14ac:dyDescent="0.25">
      <c r="A1209">
        <f>IFERROR(Fichas!A211,"")</f>
      </c>
    </row>
    <row r="1210" spans="1:1" x14ac:dyDescent="0.25">
      <c r="A1210">
        <f>IFERROR(Fichas!A212,"")</f>
      </c>
    </row>
    <row r="1211" spans="1:1" x14ac:dyDescent="0.25">
      <c r="A1211">
        <f>IFERROR(Fichas!A213,"")</f>
      </c>
    </row>
    <row r="1212" spans="1:1" x14ac:dyDescent="0.25">
      <c r="A1212">
        <f>IFERROR(Fichas!A214,"")</f>
      </c>
    </row>
    <row r="1213" spans="1:1" x14ac:dyDescent="0.25">
      <c r="A1213">
        <f>IFERROR(Fichas!A215,"")</f>
      </c>
    </row>
    <row r="1214" spans="1:1" x14ac:dyDescent="0.25">
      <c r="A1214">
        <f>IFERROR(Fichas!A216,"")</f>
      </c>
    </row>
    <row r="1215" spans="1:1" x14ac:dyDescent="0.25">
      <c r="A1215">
        <f>IFERROR(Fichas!A217,"")</f>
      </c>
    </row>
    <row r="1216" spans="1:1" x14ac:dyDescent="0.25">
      <c r="A1216">
        <f>IFERROR(Fichas!A218,"")</f>
      </c>
    </row>
    <row r="1217" spans="1:1" x14ac:dyDescent="0.25">
      <c r="A1217">
        <f>IFERROR(Fichas!A219,"")</f>
      </c>
    </row>
    <row r="1218" spans="1:1" x14ac:dyDescent="0.25">
      <c r="A1218">
        <f>IFERROR(Fichas!A220,"")</f>
      </c>
    </row>
    <row r="1219" spans="1:1" x14ac:dyDescent="0.25">
      <c r="A1219">
        <f>IFERROR(Fichas!A221,"")</f>
      </c>
    </row>
    <row r="1220" spans="1:1" x14ac:dyDescent="0.25">
      <c r="A1220">
        <f>IFERROR(Fichas!A222,"")</f>
      </c>
    </row>
    <row r="1221" spans="1:1" x14ac:dyDescent="0.25">
      <c r="A1221">
        <f>IFERROR(Fichas!A223,"")</f>
      </c>
    </row>
    <row r="1222" spans="1:1" x14ac:dyDescent="0.25">
      <c r="A1222">
        <f>IFERROR(Fichas!A224,"")</f>
      </c>
    </row>
    <row r="1223" spans="1:1" x14ac:dyDescent="0.25">
      <c r="A1223">
        <f>IFERROR(Fichas!A225,"")</f>
      </c>
    </row>
    <row r="1224" spans="1:1" x14ac:dyDescent="0.25">
      <c r="A1224">
        <f>IFERROR(Fichas!A226,"")</f>
      </c>
    </row>
    <row r="1225" spans="1:1" x14ac:dyDescent="0.25">
      <c r="A1225">
        <f>IFERROR(Fichas!A227,"")</f>
      </c>
    </row>
    <row r="1226" spans="1:1" x14ac:dyDescent="0.25">
      <c r="A1226">
        <f>IFERROR(Fichas!A228,"")</f>
      </c>
    </row>
    <row r="1227" spans="1:1" x14ac:dyDescent="0.25">
      <c r="A1227">
        <f>IFERROR(Fichas!A229,"")</f>
      </c>
    </row>
    <row r="1228" spans="1:1" x14ac:dyDescent="0.25">
      <c r="A1228">
        <f>IFERROR(Fichas!A230,"")</f>
      </c>
    </row>
    <row r="1229" spans="1:1" x14ac:dyDescent="0.25">
      <c r="A1229">
        <f>IFERROR(Fichas!A231,"")</f>
      </c>
    </row>
    <row r="1230" spans="1:1" x14ac:dyDescent="0.25">
      <c r="A1230">
        <f>IFERROR(Fichas!A232,"")</f>
      </c>
    </row>
    <row r="1231" spans="1:1" x14ac:dyDescent="0.25">
      <c r="A1231">
        <f>IFERROR(Fichas!A233,"")</f>
      </c>
    </row>
    <row r="1232" spans="1:1" x14ac:dyDescent="0.25">
      <c r="A1232">
        <f>IFERROR(Fichas!A234,"")</f>
      </c>
    </row>
    <row r="1233" spans="1:1" x14ac:dyDescent="0.25">
      <c r="A1233">
        <f>IFERROR(Fichas!A235,"")</f>
      </c>
    </row>
    <row r="1234" spans="1:1" x14ac:dyDescent="0.25">
      <c r="A1234">
        <f>IFERROR(Fichas!A236,"")</f>
      </c>
    </row>
    <row r="1235" spans="1:1" x14ac:dyDescent="0.25">
      <c r="A1235">
        <f>IFERROR(Fichas!A237,"")</f>
      </c>
    </row>
    <row r="1236" spans="1:1" x14ac:dyDescent="0.25">
      <c r="A1236">
        <f>IFERROR(Fichas!A238,"")</f>
      </c>
    </row>
    <row r="1237" spans="1:1" x14ac:dyDescent="0.25">
      <c r="A1237">
        <f>IFERROR(Fichas!A239,"")</f>
      </c>
    </row>
    <row r="1238" spans="1:1" x14ac:dyDescent="0.25">
      <c r="A1238">
        <f>IFERROR(Fichas!A240,"")</f>
      </c>
    </row>
    <row r="1239" spans="1:1" x14ac:dyDescent="0.25">
      <c r="A1239">
        <f>IFERROR(Fichas!A241,"")</f>
      </c>
    </row>
    <row r="1240" spans="1:1" x14ac:dyDescent="0.25">
      <c r="A1240">
        <f>IFERROR(Fichas!A242,"")</f>
      </c>
    </row>
    <row r="1241" spans="1:1" x14ac:dyDescent="0.25">
      <c r="A1241">
        <f>IFERROR(Fichas!A243,"")</f>
      </c>
    </row>
    <row r="1242" spans="1:1" x14ac:dyDescent="0.25">
      <c r="A1242">
        <f>IFERROR(Fichas!A244,"")</f>
      </c>
    </row>
    <row r="1243" spans="1:1" x14ac:dyDescent="0.25">
      <c r="A1243">
        <f>IFERROR(Fichas!A245,"")</f>
      </c>
    </row>
    <row r="1244" spans="1:1" x14ac:dyDescent="0.25">
      <c r="A1244">
        <f>IFERROR(Fichas!A246,"")</f>
      </c>
    </row>
    <row r="1245" spans="1:1" x14ac:dyDescent="0.25">
      <c r="A1245">
        <f>IFERROR(Fichas!A247,"")</f>
      </c>
    </row>
    <row r="1246" spans="1:1" x14ac:dyDescent="0.25">
      <c r="A1246">
        <f>IFERROR(Fichas!A248,"")</f>
      </c>
    </row>
    <row r="1247" spans="1:1" x14ac:dyDescent="0.25">
      <c r="A1247">
        <f>IFERROR(Fichas!A249,"")</f>
      </c>
    </row>
    <row r="1248" spans="1:1" x14ac:dyDescent="0.25">
      <c r="A1248">
        <f>IFERROR(Fichas!A250,"")</f>
      </c>
    </row>
    <row r="1249" spans="1:1" x14ac:dyDescent="0.25">
      <c r="A1249">
        <f>IFERROR(Fichas!A251,"")</f>
      </c>
    </row>
    <row r="1250" spans="1:1" x14ac:dyDescent="0.25">
      <c r="A1250">
        <f>IFERROR(Fichas!A252,"")</f>
      </c>
    </row>
    <row r="1251" spans="1:1" x14ac:dyDescent="0.25">
      <c r="A1251">
        <f>IFERROR(Fichas!A253,"")</f>
      </c>
    </row>
    <row r="1252" spans="1:1" x14ac:dyDescent="0.25">
      <c r="A1252">
        <f>IFERROR(Fichas!A254,"")</f>
      </c>
    </row>
    <row r="1253" spans="1:1" x14ac:dyDescent="0.25">
      <c r="A1253">
        <f>IFERROR(Fichas!A255,"")</f>
      </c>
    </row>
    <row r="1254" spans="1:1" x14ac:dyDescent="0.25">
      <c r="A1254">
        <f>IFERROR(Fichas!A256,"")</f>
      </c>
    </row>
    <row r="1255" spans="1:1" x14ac:dyDescent="0.25">
      <c r="A1255">
        <f>IFERROR(Fichas!A257,"")</f>
      </c>
    </row>
    <row r="1256" spans="1:1" x14ac:dyDescent="0.25">
      <c r="A1256">
        <f>IFERROR(Fichas!A258,"")</f>
      </c>
    </row>
    <row r="1257" spans="1:1" x14ac:dyDescent="0.25">
      <c r="A1257">
        <f>IFERROR(Fichas!A259,"")</f>
      </c>
    </row>
    <row r="1258" spans="1:1" x14ac:dyDescent="0.25">
      <c r="A1258">
        <f>IFERROR(Fichas!A260,"")</f>
      </c>
    </row>
    <row r="1259" spans="1:1" x14ac:dyDescent="0.25">
      <c r="A1259">
        <f>IFERROR(Fichas!A261,"")</f>
      </c>
    </row>
    <row r="1260" spans="1:1" x14ac:dyDescent="0.25">
      <c r="A1260">
        <f>IFERROR(Fichas!A262,"")</f>
      </c>
    </row>
    <row r="1261" spans="1:1" x14ac:dyDescent="0.25">
      <c r="A1261">
        <f>IFERROR(Fichas!A263,"")</f>
      </c>
    </row>
    <row r="1262" spans="1:1" x14ac:dyDescent="0.25">
      <c r="A1262">
        <f>IFERROR(Fichas!A264,"")</f>
      </c>
    </row>
    <row r="1263" spans="1:1" x14ac:dyDescent="0.25">
      <c r="A1263">
        <f>IFERROR(Fichas!A265,"")</f>
      </c>
    </row>
    <row r="1264" spans="1:1" x14ac:dyDescent="0.25">
      <c r="A1264">
        <f>IFERROR(Fichas!A266,"")</f>
      </c>
    </row>
    <row r="1265" spans="1:1" x14ac:dyDescent="0.25">
      <c r="A1265">
        <f>IFERROR(Fichas!A267,"")</f>
      </c>
    </row>
    <row r="1266" spans="1:1" x14ac:dyDescent="0.25">
      <c r="A1266">
        <f>IFERROR(Fichas!A268,"")</f>
      </c>
    </row>
    <row r="1267" spans="1:1" x14ac:dyDescent="0.25">
      <c r="A1267">
        <f>IFERROR(Fichas!A269,"")</f>
      </c>
    </row>
    <row r="1268" spans="1:1" x14ac:dyDescent="0.25">
      <c r="A1268">
        <f>IFERROR(Fichas!A270,"")</f>
      </c>
    </row>
    <row r="1269" spans="1:1" x14ac:dyDescent="0.25">
      <c r="A1269">
        <f>IFERROR(Fichas!A271,"")</f>
      </c>
    </row>
    <row r="1270" spans="1:1" x14ac:dyDescent="0.25">
      <c r="A1270">
        <f>IFERROR(Fichas!A272,"")</f>
      </c>
    </row>
    <row r="1271" spans="1:1" x14ac:dyDescent="0.25">
      <c r="A1271">
        <f>IFERROR(Fichas!A273,"")</f>
      </c>
    </row>
    <row r="1272" spans="1:1" x14ac:dyDescent="0.25">
      <c r="A1272">
        <f>IFERROR(Fichas!A274,"")</f>
      </c>
    </row>
    <row r="1273" spans="1:1" x14ac:dyDescent="0.25">
      <c r="A1273">
        <f>IFERROR(Fichas!A275,"")</f>
      </c>
    </row>
    <row r="1274" spans="1:1" x14ac:dyDescent="0.25">
      <c r="A1274">
        <f>IFERROR(Fichas!A276,"")</f>
      </c>
    </row>
    <row r="1275" spans="1:1" x14ac:dyDescent="0.25">
      <c r="A1275">
        <f>IFERROR(Fichas!A277,"")</f>
      </c>
    </row>
    <row r="1276" spans="1:1" x14ac:dyDescent="0.25">
      <c r="A1276">
        <f>IFERROR(Fichas!A278,"")</f>
      </c>
    </row>
    <row r="1277" spans="1:1" x14ac:dyDescent="0.25">
      <c r="A1277">
        <f>IFERROR(Fichas!A279,"")</f>
      </c>
    </row>
    <row r="1278" spans="1:1" x14ac:dyDescent="0.25">
      <c r="A1278">
        <f>IFERROR(Fichas!A280,"")</f>
      </c>
    </row>
    <row r="1279" spans="1:1" x14ac:dyDescent="0.25">
      <c r="A1279">
        <f>IFERROR(Fichas!A281,"")</f>
      </c>
    </row>
    <row r="1280" spans="1:1" x14ac:dyDescent="0.25">
      <c r="A1280">
        <f>IFERROR(Fichas!A282,"")</f>
      </c>
    </row>
    <row r="1281" spans="1:1" x14ac:dyDescent="0.25">
      <c r="A1281">
        <f>IFERROR(Fichas!A283,"")</f>
      </c>
    </row>
    <row r="1282" spans="1:1" x14ac:dyDescent="0.25">
      <c r="A1282">
        <f>IFERROR(Fichas!A284,"")</f>
      </c>
    </row>
    <row r="1283" spans="1:1" x14ac:dyDescent="0.25">
      <c r="A1283">
        <f>IFERROR(Fichas!A285,"")</f>
      </c>
    </row>
    <row r="1284" spans="1:1" x14ac:dyDescent="0.25">
      <c r="A1284">
        <f>IFERROR(Fichas!A286,"")</f>
      </c>
    </row>
    <row r="1285" spans="1:1" x14ac:dyDescent="0.25">
      <c r="A1285">
        <f>IFERROR(Fichas!A287,"")</f>
      </c>
    </row>
    <row r="1286" spans="1:1" x14ac:dyDescent="0.25">
      <c r="A1286">
        <f>IFERROR(Fichas!A288,"")</f>
      </c>
    </row>
    <row r="1287" spans="1:1" x14ac:dyDescent="0.25">
      <c r="A1287">
        <f>IFERROR(Fichas!A289,"")</f>
      </c>
    </row>
    <row r="1288" spans="1:1" x14ac:dyDescent="0.25">
      <c r="A1288">
        <f>IFERROR(Fichas!A290,"")</f>
      </c>
    </row>
    <row r="1289" spans="1:1" x14ac:dyDescent="0.25">
      <c r="A1289">
        <f>IFERROR(Fichas!A291,"")</f>
      </c>
    </row>
    <row r="1290" spans="1:1" x14ac:dyDescent="0.25">
      <c r="A1290">
        <f>IFERROR(Fichas!A292,"")</f>
      </c>
    </row>
    <row r="1291" spans="1:1" x14ac:dyDescent="0.25">
      <c r="A1291">
        <f>IFERROR(Fichas!A293,"")</f>
      </c>
    </row>
    <row r="1292" spans="1:1" x14ac:dyDescent="0.25">
      <c r="A1292">
        <f>IFERROR(Fichas!A294,"")</f>
      </c>
    </row>
    <row r="1293" spans="1:1" x14ac:dyDescent="0.25">
      <c r="A1293">
        <f>IFERROR(Fichas!A295,"")</f>
      </c>
    </row>
    <row r="1294" spans="1:1" x14ac:dyDescent="0.25">
      <c r="A1294">
        <f>IFERROR(Fichas!A296,"")</f>
      </c>
    </row>
    <row r="1295" spans="1:1" x14ac:dyDescent="0.25">
      <c r="A1295">
        <f>IFERROR(Fichas!A297,"")</f>
      </c>
    </row>
    <row r="1296" spans="1:1" x14ac:dyDescent="0.25">
      <c r="A1296">
        <f>IFERROR(Fichas!A298,"")</f>
      </c>
    </row>
    <row r="1297" spans="1:1" x14ac:dyDescent="0.25">
      <c r="A1297">
        <f>IFERROR(Fichas!A299,"")</f>
      </c>
    </row>
    <row r="1298" spans="1:1" x14ac:dyDescent="0.25">
      <c r="A1298">
        <f>IFERROR(Fichas!A300,"")</f>
      </c>
    </row>
    <row r="1299" spans="1:1" x14ac:dyDescent="0.25">
      <c r="A1299">
        <f>IFERROR(Fichas!A301,"")</f>
      </c>
    </row>
    <row r="1300" spans="1:1" x14ac:dyDescent="0.25">
      <c r="A1300">
        <f>IFERROR(Fichas!A302,"")</f>
      </c>
    </row>
    <row r="1301" spans="1:1" x14ac:dyDescent="0.25">
      <c r="A1301">
        <f>IFERROR(Fichas!A303,"")</f>
      </c>
    </row>
    <row r="1302" spans="1:1" x14ac:dyDescent="0.25">
      <c r="A1302">
        <f>IFERROR(Fichas!A304,"")</f>
      </c>
    </row>
    <row r="1303" spans="1:1" x14ac:dyDescent="0.25">
      <c r="A1303">
        <f>IFERROR(Fichas!A305,"")</f>
      </c>
    </row>
    <row r="1304" spans="1:1" x14ac:dyDescent="0.25">
      <c r="A1304">
        <f>IFERROR(Fichas!A306,"")</f>
      </c>
    </row>
    <row r="1305" spans="1:1" x14ac:dyDescent="0.25">
      <c r="A1305">
        <f>IFERROR(Fichas!A307,"")</f>
      </c>
    </row>
    <row r="1306" spans="1:1" x14ac:dyDescent="0.25">
      <c r="A1306">
        <f>IFERROR(Fichas!A308,"")</f>
      </c>
    </row>
    <row r="1307" spans="1:1" x14ac:dyDescent="0.25">
      <c r="A1307">
        <f>IFERROR(Fichas!A309,"")</f>
      </c>
    </row>
    <row r="1308" spans="1:1" x14ac:dyDescent="0.25">
      <c r="A1308">
        <f>IFERROR(Fichas!A310,"")</f>
      </c>
    </row>
    <row r="1309" spans="1:1" x14ac:dyDescent="0.25">
      <c r="A1309">
        <f>IFERROR(Fichas!A311,"")</f>
      </c>
    </row>
    <row r="1310" spans="1:1" x14ac:dyDescent="0.25">
      <c r="A1310">
        <f>IFERROR(Fichas!A312,"")</f>
      </c>
    </row>
    <row r="1311" spans="1:1" x14ac:dyDescent="0.25">
      <c r="A1311">
        <f>IFERROR(Fichas!A313,"")</f>
      </c>
    </row>
    <row r="1312" spans="1:1" x14ac:dyDescent="0.25">
      <c r="A1312">
        <f>IFERROR(Fichas!A314,"")</f>
      </c>
    </row>
    <row r="1313" spans="1:1" x14ac:dyDescent="0.25">
      <c r="A1313">
        <f>IFERROR(Fichas!A315,"")</f>
      </c>
    </row>
    <row r="1314" spans="1:1" x14ac:dyDescent="0.25">
      <c r="A1314">
        <f>IFERROR(Fichas!A316,"")</f>
      </c>
    </row>
    <row r="1315" spans="1:1" x14ac:dyDescent="0.25">
      <c r="A1315">
        <f>IFERROR(Fichas!A317,"")</f>
      </c>
    </row>
    <row r="1316" spans="1:1" x14ac:dyDescent="0.25">
      <c r="A1316">
        <f>IFERROR(Fichas!A318,"")</f>
      </c>
    </row>
    <row r="1317" spans="1:1" x14ac:dyDescent="0.25">
      <c r="A1317">
        <f>IFERROR(Fichas!A319,"")</f>
      </c>
    </row>
    <row r="1318" spans="1:1" x14ac:dyDescent="0.25">
      <c r="A1318">
        <f>IFERROR(Fichas!A320,"")</f>
      </c>
    </row>
    <row r="1319" spans="1:1" x14ac:dyDescent="0.25">
      <c r="A1319">
        <f>IFERROR(Fichas!A321,"")</f>
      </c>
    </row>
    <row r="1320" spans="1:1" x14ac:dyDescent="0.25">
      <c r="A1320">
        <f>IFERROR(Fichas!A322,"")</f>
      </c>
    </row>
    <row r="1321" spans="1:1" x14ac:dyDescent="0.25">
      <c r="A1321">
        <f>IFERROR(Fichas!A323,"")</f>
      </c>
    </row>
    <row r="1322" spans="1:1" x14ac:dyDescent="0.25">
      <c r="A1322">
        <f>IFERROR(Fichas!A324,"")</f>
      </c>
    </row>
    <row r="1323" spans="1:1" x14ac:dyDescent="0.25">
      <c r="A1323">
        <f>IFERROR(Fichas!A325,"")</f>
      </c>
    </row>
    <row r="1324" spans="1:1" x14ac:dyDescent="0.25">
      <c r="A1324">
        <f>IFERROR(Fichas!A326,"")</f>
      </c>
    </row>
    <row r="1325" spans="1:1" x14ac:dyDescent="0.25">
      <c r="A1325">
        <f>IFERROR(Fichas!A327,"")</f>
      </c>
    </row>
    <row r="1326" spans="1:1" x14ac:dyDescent="0.25">
      <c r="A1326">
        <f>IFERROR(Fichas!A328,"")</f>
      </c>
    </row>
    <row r="1327" spans="1:1" x14ac:dyDescent="0.25">
      <c r="A1327">
        <f>IFERROR(Fichas!A329,"")</f>
      </c>
    </row>
    <row r="1328" spans="1:1" x14ac:dyDescent="0.25">
      <c r="A1328">
        <f>IFERROR(Fichas!A330,"")</f>
      </c>
    </row>
    <row r="1329" spans="1:1" x14ac:dyDescent="0.25">
      <c r="A1329">
        <f>IFERROR(Fichas!A331,"")</f>
      </c>
    </row>
    <row r="1330" spans="1:1" x14ac:dyDescent="0.25">
      <c r="A1330">
        <f>IFERROR(Fichas!A332,"")</f>
      </c>
    </row>
    <row r="1331" spans="1:1" x14ac:dyDescent="0.25">
      <c r="A1331">
        <f>IFERROR(Fichas!A333,"")</f>
      </c>
    </row>
    <row r="1332" spans="1:1" x14ac:dyDescent="0.25">
      <c r="A1332">
        <f>IFERROR(Fichas!A334,"")</f>
      </c>
    </row>
    <row r="1333" spans="1:1" x14ac:dyDescent="0.25">
      <c r="A1333">
        <f>IFERROR(Fichas!A335,"")</f>
      </c>
    </row>
    <row r="1334" spans="1:1" x14ac:dyDescent="0.25">
      <c r="A1334">
        <f>IFERROR(Fichas!A336,"")</f>
      </c>
    </row>
    <row r="1335" spans="1:1" x14ac:dyDescent="0.25">
      <c r="A1335">
        <f>IFERROR(Fichas!A337,"")</f>
      </c>
    </row>
    <row r="1336" spans="1:1" x14ac:dyDescent="0.25">
      <c r="A1336">
        <f>IFERROR(Fichas!A338,"")</f>
      </c>
    </row>
    <row r="1337" spans="1:1" x14ac:dyDescent="0.25">
      <c r="A1337">
        <f>IFERROR(Fichas!A339,"")</f>
      </c>
    </row>
    <row r="1338" spans="1:1" x14ac:dyDescent="0.25">
      <c r="A1338">
        <f>IFERROR(Fichas!A340,"")</f>
      </c>
    </row>
    <row r="1339" spans="1:1" x14ac:dyDescent="0.25">
      <c r="A1339">
        <f>IFERROR(Fichas!A341,"")</f>
      </c>
    </row>
    <row r="1340" spans="1:1" x14ac:dyDescent="0.25">
      <c r="A1340">
        <f>IFERROR(Fichas!A342,"")</f>
      </c>
    </row>
    <row r="1341" spans="1:1" x14ac:dyDescent="0.25">
      <c r="A1341">
        <f>IFERROR(Fichas!A343,"")</f>
      </c>
    </row>
    <row r="1342" spans="1:1" x14ac:dyDescent="0.25">
      <c r="A1342">
        <f>IFERROR(Fichas!A344,"")</f>
      </c>
    </row>
    <row r="1343" spans="1:1" x14ac:dyDescent="0.25">
      <c r="A1343">
        <f>IFERROR(Fichas!A345,"")</f>
      </c>
    </row>
    <row r="1344" spans="1:1" x14ac:dyDescent="0.25">
      <c r="A1344">
        <f>IFERROR(Fichas!A346,"")</f>
      </c>
    </row>
    <row r="1345" spans="1:1" x14ac:dyDescent="0.25">
      <c r="A1345">
        <f>IFERROR(Fichas!A347,"")</f>
      </c>
    </row>
    <row r="1346" spans="1:1" x14ac:dyDescent="0.25">
      <c r="A1346">
        <f>IFERROR(Fichas!A348,"")</f>
      </c>
    </row>
    <row r="1347" spans="1:1" x14ac:dyDescent="0.25">
      <c r="A1347">
        <f>IFERROR(Fichas!A349,"")</f>
      </c>
    </row>
    <row r="1348" spans="1:1" x14ac:dyDescent="0.25">
      <c r="A1348">
        <f>IFERROR(Fichas!A350,"")</f>
      </c>
    </row>
    <row r="1349" spans="1:1" x14ac:dyDescent="0.25">
      <c r="A1349">
        <f>IFERROR(Fichas!A351,"")</f>
      </c>
    </row>
    <row r="1350" spans="1:1" x14ac:dyDescent="0.25">
      <c r="A1350">
        <f>IFERROR(Fichas!A352,"")</f>
      </c>
    </row>
    <row r="1351" spans="1:1" x14ac:dyDescent="0.25">
      <c r="A1351">
        <f>IFERROR(Fichas!A353,"")</f>
      </c>
    </row>
    <row r="1352" spans="1:1" x14ac:dyDescent="0.25">
      <c r="A1352">
        <f>IFERROR(Fichas!A354,"")</f>
      </c>
    </row>
    <row r="1353" spans="1:1" x14ac:dyDescent="0.25">
      <c r="A1353">
        <f>IFERROR(Fichas!A355,"")</f>
      </c>
    </row>
    <row r="1354" spans="1:1" x14ac:dyDescent="0.25">
      <c r="A1354">
        <f>IFERROR(Fichas!A356,"")</f>
      </c>
    </row>
    <row r="1355" spans="1:1" x14ac:dyDescent="0.25">
      <c r="A1355">
        <f>IFERROR(Fichas!A357,"")</f>
      </c>
    </row>
    <row r="1356" spans="1:1" x14ac:dyDescent="0.25">
      <c r="A1356">
        <f>IFERROR(Fichas!A358,"")</f>
      </c>
    </row>
    <row r="1357" spans="1:1" x14ac:dyDescent="0.25">
      <c r="A1357">
        <f>IFERROR(Fichas!A359,"")</f>
      </c>
    </row>
    <row r="1358" spans="1:1" x14ac:dyDescent="0.25">
      <c r="A1358">
        <f>IFERROR(Fichas!A360,"")</f>
      </c>
    </row>
    <row r="1359" spans="1:1" x14ac:dyDescent="0.25">
      <c r="A1359">
        <f>IFERROR(Fichas!A361,"")</f>
      </c>
    </row>
    <row r="1360" spans="1:1" x14ac:dyDescent="0.25">
      <c r="A1360">
        <f>IFERROR(Fichas!A362,"")</f>
      </c>
    </row>
    <row r="1361" spans="1:1" x14ac:dyDescent="0.25">
      <c r="A1361">
        <f>IFERROR(Fichas!A363,"")</f>
      </c>
    </row>
    <row r="1362" spans="1:1" x14ac:dyDescent="0.25">
      <c r="A1362">
        <f>IFERROR(Fichas!A364,"")</f>
      </c>
    </row>
    <row r="1363" spans="1:1" x14ac:dyDescent="0.25">
      <c r="A1363">
        <f>IFERROR(Fichas!A365,"")</f>
      </c>
    </row>
    <row r="1364" spans="1:1" x14ac:dyDescent="0.25">
      <c r="A1364">
        <f>IFERROR(Fichas!A366,"")</f>
      </c>
    </row>
    <row r="1365" spans="1:1" x14ac:dyDescent="0.25">
      <c r="A1365">
        <f>IFERROR(Fichas!A367,"")</f>
      </c>
    </row>
    <row r="1366" spans="1:1" x14ac:dyDescent="0.25">
      <c r="A1366">
        <f>IFERROR(Fichas!A368,"")</f>
      </c>
    </row>
    <row r="1367" spans="1:1" x14ac:dyDescent="0.25">
      <c r="A1367">
        <f>IFERROR(Fichas!A369,"")</f>
      </c>
    </row>
    <row r="1368" spans="1:1" x14ac:dyDescent="0.25">
      <c r="A1368">
        <f>IFERROR(Fichas!A370,"")</f>
      </c>
    </row>
    <row r="1369" spans="1:1" x14ac:dyDescent="0.25">
      <c r="A1369">
        <f>IFERROR(Fichas!A371,"")</f>
      </c>
    </row>
    <row r="1370" spans="1:1" x14ac:dyDescent="0.25">
      <c r="A1370">
        <f>IFERROR(Fichas!A372,"")</f>
      </c>
    </row>
    <row r="1371" spans="1:1" x14ac:dyDescent="0.25">
      <c r="A1371">
        <f>IFERROR(Fichas!A373,"")</f>
      </c>
    </row>
    <row r="1372" spans="1:1" x14ac:dyDescent="0.25">
      <c r="A1372">
        <f>IFERROR(Fichas!A374,"")</f>
      </c>
    </row>
    <row r="1373" spans="1:1" x14ac:dyDescent="0.25">
      <c r="A1373">
        <f>IFERROR(Fichas!A375,"")</f>
      </c>
    </row>
    <row r="1374" spans="1:1" x14ac:dyDescent="0.25">
      <c r="A1374">
        <f>IFERROR(Fichas!A376,"")</f>
      </c>
    </row>
    <row r="1375" spans="1:1" x14ac:dyDescent="0.25">
      <c r="A1375">
        <f>IFERROR(Fichas!A377,"")</f>
      </c>
    </row>
    <row r="1376" spans="1:1" x14ac:dyDescent="0.25">
      <c r="A1376">
        <f>IFERROR(Fichas!A378,"")</f>
      </c>
    </row>
    <row r="1377" spans="1:1" x14ac:dyDescent="0.25">
      <c r="A1377">
        <f>IFERROR(Fichas!A379,"")</f>
      </c>
    </row>
    <row r="1378" spans="1:1" x14ac:dyDescent="0.25">
      <c r="A1378">
        <f>IFERROR(Fichas!A380,"")</f>
      </c>
    </row>
    <row r="1379" spans="1:1" x14ac:dyDescent="0.25">
      <c r="A1379">
        <f>IFERROR(Fichas!A381,"")</f>
      </c>
    </row>
    <row r="1380" spans="1:1" x14ac:dyDescent="0.25">
      <c r="A1380">
        <f>IFERROR(Fichas!A382,"")</f>
      </c>
    </row>
    <row r="1381" spans="1:1" x14ac:dyDescent="0.25">
      <c r="A1381">
        <f>IFERROR(Fichas!A383,"")</f>
      </c>
    </row>
    <row r="1382" spans="1:1" x14ac:dyDescent="0.25">
      <c r="A1382">
        <f>IFERROR(Fichas!A384,"")</f>
      </c>
    </row>
    <row r="1383" spans="1:1" x14ac:dyDescent="0.25">
      <c r="A1383">
        <f>IFERROR(Fichas!A385,"")</f>
      </c>
    </row>
    <row r="1384" spans="1:1" x14ac:dyDescent="0.25">
      <c r="A1384">
        <f>IFERROR(Fichas!A386,"")</f>
      </c>
    </row>
    <row r="1385" spans="1:1" x14ac:dyDescent="0.25">
      <c r="A1385">
        <f>IFERROR(Fichas!A387,"")</f>
      </c>
    </row>
    <row r="1386" spans="1:1" x14ac:dyDescent="0.25">
      <c r="A1386">
        <f>IFERROR(Fichas!A388,"")</f>
      </c>
    </row>
    <row r="1387" spans="1:1" x14ac:dyDescent="0.25">
      <c r="A1387">
        <f>IFERROR(Fichas!A389,"")</f>
      </c>
    </row>
    <row r="1388" spans="1:1" x14ac:dyDescent="0.25">
      <c r="A1388">
        <f>IFERROR(Fichas!A390,"")</f>
      </c>
    </row>
    <row r="1389" spans="1:1" x14ac:dyDescent="0.25">
      <c r="A1389">
        <f>IFERROR(Fichas!A391,"")</f>
      </c>
    </row>
    <row r="1390" spans="1:1" x14ac:dyDescent="0.25">
      <c r="A1390">
        <f>IFERROR(Fichas!A392,"")</f>
      </c>
    </row>
    <row r="1391" spans="1:1" x14ac:dyDescent="0.25">
      <c r="A1391">
        <f>IFERROR(Fichas!A393,"")</f>
      </c>
    </row>
    <row r="1392" spans="1:1" x14ac:dyDescent="0.25">
      <c r="A1392">
        <f>IFERROR(Fichas!A394,"")</f>
      </c>
    </row>
    <row r="1393" spans="1:1" x14ac:dyDescent="0.25">
      <c r="A1393">
        <f>IFERROR(Fichas!A395,"")</f>
      </c>
    </row>
    <row r="1394" spans="1:1" x14ac:dyDescent="0.25">
      <c r="A1394">
        <f>IFERROR(Fichas!A396,"")</f>
      </c>
    </row>
    <row r="1395" spans="1:1" x14ac:dyDescent="0.25">
      <c r="A1395">
        <f>IFERROR(Fichas!A397,"")</f>
      </c>
    </row>
    <row r="1396" spans="1:1" x14ac:dyDescent="0.25">
      <c r="A1396">
        <f>IFERROR(Fichas!A398,"")</f>
      </c>
    </row>
    <row r="1397" spans="1:1" x14ac:dyDescent="0.25">
      <c r="A1397">
        <f>IFERROR(Fichas!A399,"")</f>
      </c>
    </row>
    <row r="1398" spans="1:1" x14ac:dyDescent="0.25">
      <c r="A1398">
        <f>IFERROR(Fichas!A400,"")</f>
      </c>
    </row>
    <row r="1399" spans="1:1" x14ac:dyDescent="0.25">
      <c r="A1399">
        <f>IFERROR(Fichas!A401,"")</f>
      </c>
    </row>
    <row r="1400" spans="1:1" x14ac:dyDescent="0.25">
      <c r="A1400">
        <f>IFERROR(Fichas!A402,"")</f>
      </c>
    </row>
    <row r="1401" spans="1:1" x14ac:dyDescent="0.25">
      <c r="A1401">
        <f>IFERROR(Fichas!A403,"")</f>
      </c>
    </row>
    <row r="1402" spans="1:1" x14ac:dyDescent="0.25">
      <c r="A1402">
        <f>IFERROR(Fichas!A404,"")</f>
      </c>
    </row>
    <row r="1403" spans="1:1" x14ac:dyDescent="0.25">
      <c r="A1403">
        <f>IFERROR(Fichas!A405,"")</f>
      </c>
    </row>
    <row r="1404" spans="1:1" x14ac:dyDescent="0.25">
      <c r="A1404">
        <f>IFERROR(Fichas!A406,"")</f>
      </c>
    </row>
    <row r="1405" spans="1:1" x14ac:dyDescent="0.25">
      <c r="A1405">
        <f>IFERROR(Fichas!A407,"")</f>
      </c>
    </row>
    <row r="1406" spans="1:1" x14ac:dyDescent="0.25">
      <c r="A1406">
        <f>IFERROR(Fichas!A408,"")</f>
      </c>
    </row>
    <row r="1407" spans="1:1" x14ac:dyDescent="0.25">
      <c r="A1407">
        <f>IFERROR(Fichas!A409,"")</f>
      </c>
    </row>
    <row r="1408" spans="1:1" x14ac:dyDescent="0.25">
      <c r="A1408">
        <f>IFERROR(Fichas!A410,"")</f>
      </c>
    </row>
    <row r="1409" spans="1:1" x14ac:dyDescent="0.25">
      <c r="A1409">
        <f>IFERROR(Fichas!A411,"")</f>
      </c>
    </row>
    <row r="1410" spans="1:1" x14ac:dyDescent="0.25">
      <c r="A1410">
        <f>IFERROR(Fichas!A412,"")</f>
      </c>
    </row>
    <row r="1411" spans="1:1" x14ac:dyDescent="0.25">
      <c r="A1411">
        <f>IFERROR(Fichas!A413,"")</f>
      </c>
    </row>
    <row r="1412" spans="1:1" x14ac:dyDescent="0.25">
      <c r="A1412">
        <f>IFERROR(Fichas!A414,"")</f>
      </c>
    </row>
    <row r="1413" spans="1:1" x14ac:dyDescent="0.25">
      <c r="A1413">
        <f>IFERROR(Fichas!A415,"")</f>
      </c>
    </row>
    <row r="1414" spans="1:1" x14ac:dyDescent="0.25">
      <c r="A1414">
        <f>IFERROR(Fichas!A416,"")</f>
      </c>
    </row>
    <row r="1415" spans="1:1" x14ac:dyDescent="0.25">
      <c r="A1415">
        <f>IFERROR(Fichas!A417,"")</f>
      </c>
    </row>
    <row r="1416" spans="1:1" x14ac:dyDescent="0.25">
      <c r="A1416">
        <f>IFERROR(Fichas!A418,"")</f>
      </c>
    </row>
    <row r="1417" spans="1:1" x14ac:dyDescent="0.25">
      <c r="A1417">
        <f>IFERROR(Fichas!A419,"")</f>
      </c>
    </row>
    <row r="1418" spans="1:1" x14ac:dyDescent="0.25">
      <c r="A1418">
        <f>IFERROR(Fichas!A420,"")</f>
      </c>
    </row>
    <row r="1419" spans="1:1" x14ac:dyDescent="0.25">
      <c r="A1419">
        <f>IFERROR(Fichas!A421,"")</f>
      </c>
    </row>
    <row r="1420" spans="1:1" x14ac:dyDescent="0.25">
      <c r="A1420">
        <f>IFERROR(Fichas!A422,"")</f>
      </c>
    </row>
    <row r="1421" spans="1:1" x14ac:dyDescent="0.25">
      <c r="A1421">
        <f>IFERROR(Fichas!A423,"")</f>
      </c>
    </row>
    <row r="1422" spans="1:1" x14ac:dyDescent="0.25">
      <c r="A1422">
        <f>IFERROR(Fichas!A424,"")</f>
      </c>
    </row>
    <row r="1423" spans="1:1" x14ac:dyDescent="0.25">
      <c r="A1423">
        <f>IFERROR(Fichas!A425,"")</f>
      </c>
    </row>
    <row r="1424" spans="1:1" x14ac:dyDescent="0.25">
      <c r="A1424">
        <f>IFERROR(Fichas!A426,"")</f>
      </c>
    </row>
    <row r="1425" spans="1:1" x14ac:dyDescent="0.25">
      <c r="A1425">
        <f>IFERROR(Fichas!A427,"")</f>
      </c>
    </row>
    <row r="1426" spans="1:1" x14ac:dyDescent="0.25">
      <c r="A1426">
        <f>IFERROR(Fichas!A428,"")</f>
      </c>
    </row>
    <row r="1427" spans="1:1" x14ac:dyDescent="0.25">
      <c r="A1427">
        <f>IFERROR(Fichas!A429,"")</f>
      </c>
    </row>
    <row r="1428" spans="1:1" x14ac:dyDescent="0.25">
      <c r="A1428">
        <f>IFERROR(Fichas!A430,"")</f>
      </c>
    </row>
    <row r="1429" spans="1:1" x14ac:dyDescent="0.25">
      <c r="A1429">
        <f>IFERROR(Fichas!A431,"")</f>
      </c>
    </row>
    <row r="1430" spans="1:1" x14ac:dyDescent="0.25">
      <c r="A1430">
        <f>IFERROR(Fichas!A432,"")</f>
      </c>
    </row>
    <row r="1431" spans="1:1" x14ac:dyDescent="0.25">
      <c r="A1431">
        <f>IFERROR(Fichas!A433,"")</f>
      </c>
    </row>
    <row r="1432" spans="1:1" x14ac:dyDescent="0.25">
      <c r="A1432">
        <f>IFERROR(Fichas!A434,"")</f>
      </c>
    </row>
    <row r="1433" spans="1:1" x14ac:dyDescent="0.25">
      <c r="A1433">
        <f>IFERROR(Fichas!A435,"")</f>
      </c>
    </row>
    <row r="1434" spans="1:1" x14ac:dyDescent="0.25">
      <c r="A1434">
        <f>IFERROR(Fichas!A436,"")</f>
      </c>
    </row>
    <row r="1435" spans="1:1" x14ac:dyDescent="0.25">
      <c r="A1435">
        <f>IFERROR(Fichas!A437,"")</f>
      </c>
    </row>
    <row r="1436" spans="1:1" x14ac:dyDescent="0.25">
      <c r="A1436">
        <f>IFERROR(Fichas!A438,"")</f>
      </c>
    </row>
    <row r="1437" spans="1:1" x14ac:dyDescent="0.25">
      <c r="A1437">
        <f>IFERROR(Fichas!A439,"")</f>
      </c>
    </row>
    <row r="1438" spans="1:1" x14ac:dyDescent="0.25">
      <c r="A1438">
        <f>IFERROR(Fichas!A440,"")</f>
      </c>
    </row>
    <row r="1439" spans="1:1" x14ac:dyDescent="0.25">
      <c r="A1439">
        <f>IFERROR(Fichas!A441,"")</f>
      </c>
    </row>
    <row r="1440" spans="1:1" x14ac:dyDescent="0.25">
      <c r="A1440">
        <f>IFERROR(Fichas!A442,"")</f>
      </c>
    </row>
    <row r="1441" spans="1:1" x14ac:dyDescent="0.25">
      <c r="A1441">
        <f>IFERROR(Fichas!A443,"")</f>
      </c>
    </row>
    <row r="1442" spans="1:1" x14ac:dyDescent="0.25">
      <c r="A1442">
        <f>IFERROR(Fichas!A444,"")</f>
      </c>
    </row>
    <row r="1443" spans="1:1" x14ac:dyDescent="0.25">
      <c r="A1443">
        <f>IFERROR(Fichas!A445,"")</f>
      </c>
    </row>
    <row r="1444" spans="1:1" x14ac:dyDescent="0.25">
      <c r="A1444">
        <f>IFERROR(Fichas!A446,"")</f>
      </c>
    </row>
    <row r="1445" spans="1:1" x14ac:dyDescent="0.25">
      <c r="A1445">
        <f>IFERROR(Fichas!A447,"")</f>
      </c>
    </row>
    <row r="1446" spans="1:1" x14ac:dyDescent="0.25">
      <c r="A1446">
        <f>IFERROR(Fichas!A448,"")</f>
      </c>
    </row>
    <row r="1447" spans="1:1" x14ac:dyDescent="0.25">
      <c r="A1447">
        <f>IFERROR(Fichas!A449,"")</f>
      </c>
    </row>
    <row r="1448" spans="1:1" x14ac:dyDescent="0.25">
      <c r="A1448">
        <f>IFERROR(Fichas!A450,"")</f>
      </c>
    </row>
    <row r="1449" spans="1:1" x14ac:dyDescent="0.25">
      <c r="A1449">
        <f>IFERROR(Fichas!A451,"")</f>
      </c>
    </row>
    <row r="1450" spans="1:1" x14ac:dyDescent="0.25">
      <c r="A1450">
        <f>IFERROR(Fichas!A452,"")</f>
      </c>
    </row>
    <row r="1451" spans="1:1" x14ac:dyDescent="0.25">
      <c r="A1451">
        <f>IFERROR(Fichas!A453,"")</f>
      </c>
    </row>
    <row r="1452" spans="1:1" x14ac:dyDescent="0.25">
      <c r="A1452">
        <f>IFERROR(Fichas!A454,"")</f>
      </c>
    </row>
    <row r="1453" spans="1:1" x14ac:dyDescent="0.25">
      <c r="A1453">
        <f>IFERROR(Fichas!A455,"")</f>
      </c>
    </row>
    <row r="1454" spans="1:1" x14ac:dyDescent="0.25">
      <c r="A1454">
        <f>IFERROR(Fichas!A456,"")</f>
      </c>
    </row>
    <row r="1455" spans="1:1" x14ac:dyDescent="0.25">
      <c r="A1455">
        <f>IFERROR(Fichas!A457,"")</f>
      </c>
    </row>
    <row r="1456" spans="1:1" x14ac:dyDescent="0.25">
      <c r="A1456">
        <f>IFERROR(Fichas!A458,"")</f>
      </c>
    </row>
    <row r="1457" spans="1:1" x14ac:dyDescent="0.25">
      <c r="A1457">
        <f>IFERROR(Fichas!A459,"")</f>
      </c>
    </row>
    <row r="1458" spans="1:1" x14ac:dyDescent="0.25">
      <c r="A1458">
        <f>IFERROR(Fichas!A460,"")</f>
      </c>
    </row>
    <row r="1459" spans="1:1" x14ac:dyDescent="0.25">
      <c r="A1459">
        <f>IFERROR(Fichas!A461,"")</f>
      </c>
    </row>
    <row r="1460" spans="1:1" x14ac:dyDescent="0.25">
      <c r="A1460">
        <f>IFERROR(Fichas!A462,"")</f>
      </c>
    </row>
    <row r="1461" spans="1:1" x14ac:dyDescent="0.25">
      <c r="A1461">
        <f>IFERROR(Fichas!A463,"")</f>
      </c>
    </row>
    <row r="1462" spans="1:1" x14ac:dyDescent="0.25">
      <c r="A1462">
        <f>IFERROR(Fichas!A464,"")</f>
      </c>
    </row>
    <row r="1463" spans="1:1" x14ac:dyDescent="0.25">
      <c r="A1463">
        <f>IFERROR(Fichas!A465,"")</f>
      </c>
    </row>
    <row r="1464" spans="1:1" x14ac:dyDescent="0.25">
      <c r="A1464">
        <f>IFERROR(Fichas!A466,"")</f>
      </c>
    </row>
    <row r="1465" spans="1:1" x14ac:dyDescent="0.25">
      <c r="A1465">
        <f>IFERROR(Fichas!A467,"")</f>
      </c>
    </row>
    <row r="1466" spans="1:1" x14ac:dyDescent="0.25">
      <c r="A1466">
        <f>IFERROR(Fichas!A468,"")</f>
      </c>
    </row>
    <row r="1467" spans="1:1" x14ac:dyDescent="0.25">
      <c r="A1467">
        <f>IFERROR(Fichas!A469,"")</f>
      </c>
    </row>
    <row r="1468" spans="1:1" x14ac:dyDescent="0.25">
      <c r="A1468">
        <f>IFERROR(Fichas!A470,"")</f>
      </c>
    </row>
    <row r="1469" spans="1:1" x14ac:dyDescent="0.25">
      <c r="A1469">
        <f>IFERROR(Fichas!A471,"")</f>
      </c>
    </row>
    <row r="1470" spans="1:1" x14ac:dyDescent="0.25">
      <c r="A1470">
        <f>IFERROR(Fichas!A472,"")</f>
      </c>
    </row>
    <row r="1471" spans="1:1" x14ac:dyDescent="0.25">
      <c r="A1471">
        <f>IFERROR(Fichas!A473,"")</f>
      </c>
    </row>
    <row r="1472" spans="1:1" x14ac:dyDescent="0.25">
      <c r="A1472">
        <f>IFERROR(Fichas!A474,"")</f>
      </c>
    </row>
    <row r="1473" spans="1:1" x14ac:dyDescent="0.25">
      <c r="A1473">
        <f>IFERROR(Fichas!A475,"")</f>
      </c>
    </row>
    <row r="1474" spans="1:1" x14ac:dyDescent="0.25">
      <c r="A1474">
        <f>IFERROR(Fichas!A476,"")</f>
      </c>
    </row>
    <row r="1475" spans="1:1" x14ac:dyDescent="0.25">
      <c r="A1475">
        <f>IFERROR(Fichas!A477,"")</f>
      </c>
    </row>
    <row r="1476" spans="1:1" x14ac:dyDescent="0.25">
      <c r="A1476">
        <f>IFERROR(Fichas!A478,"")</f>
      </c>
    </row>
    <row r="1477" spans="1:1" x14ac:dyDescent="0.25">
      <c r="A1477">
        <f>IFERROR(Fichas!A479,"")</f>
      </c>
    </row>
    <row r="1478" spans="1:1" x14ac:dyDescent="0.25">
      <c r="A1478">
        <f>IFERROR(Fichas!A480,"")</f>
      </c>
    </row>
    <row r="1479" spans="1:1" x14ac:dyDescent="0.25">
      <c r="A1479">
        <f>IFERROR(Fichas!A481,"")</f>
      </c>
    </row>
    <row r="1480" spans="1:1" x14ac:dyDescent="0.25">
      <c r="A1480">
        <f>IFERROR(Fichas!A482,"")</f>
      </c>
    </row>
    <row r="1481" spans="1:1" x14ac:dyDescent="0.25">
      <c r="A1481">
        <f>IFERROR(Fichas!A483,"")</f>
      </c>
    </row>
    <row r="1482" spans="1:1" x14ac:dyDescent="0.25">
      <c r="A1482">
        <f>IFERROR(Fichas!A484,"")</f>
      </c>
    </row>
    <row r="1483" spans="1:1" x14ac:dyDescent="0.25">
      <c r="A1483">
        <f>IFERROR(Fichas!A485,"")</f>
      </c>
    </row>
    <row r="1484" spans="1:1" x14ac:dyDescent="0.25">
      <c r="A1484">
        <f>IFERROR(Fichas!A486,"")</f>
      </c>
    </row>
    <row r="1485" spans="1:1" x14ac:dyDescent="0.25">
      <c r="A1485">
        <f>IFERROR(Fichas!A487,"")</f>
      </c>
    </row>
    <row r="1486" spans="1:1" x14ac:dyDescent="0.25">
      <c r="A1486">
        <f>IFERROR(Fichas!A488,"")</f>
      </c>
    </row>
    <row r="1487" spans="1:1" x14ac:dyDescent="0.25">
      <c r="A1487">
        <f>IFERROR(Fichas!A489,"")</f>
      </c>
    </row>
    <row r="1488" spans="1:1" x14ac:dyDescent="0.25">
      <c r="A1488">
        <f>IFERROR(Fichas!A490,"")</f>
      </c>
    </row>
    <row r="1489" spans="1:1" x14ac:dyDescent="0.25">
      <c r="A1489">
        <f>IFERROR(Fichas!A491,"")</f>
      </c>
    </row>
    <row r="1490" spans="1:1" x14ac:dyDescent="0.25">
      <c r="A1490">
        <f>IFERROR(Fichas!A492,"")</f>
      </c>
    </row>
    <row r="1491" spans="1:1" x14ac:dyDescent="0.25">
      <c r="A1491">
        <f>IFERROR(Fichas!A493,"")</f>
      </c>
    </row>
    <row r="1492" spans="1:1" x14ac:dyDescent="0.25">
      <c r="A1492">
        <f>IFERROR(Fichas!A494,"")</f>
      </c>
    </row>
    <row r="1493" spans="1:1" x14ac:dyDescent="0.25">
      <c r="A1493">
        <f>IFERROR(Fichas!A495,"")</f>
      </c>
    </row>
    <row r="1494" spans="1:1" x14ac:dyDescent="0.25">
      <c r="A1494">
        <f>IFERROR(Fichas!A496,"")</f>
      </c>
    </row>
    <row r="1495" spans="1:1" x14ac:dyDescent="0.25">
      <c r="A1495">
        <f>IFERROR(Fichas!A497,"")</f>
      </c>
    </row>
    <row r="1496" spans="1:1" x14ac:dyDescent="0.25">
      <c r="A1496">
        <f>IFERROR(Fichas!A498,"")</f>
      </c>
    </row>
    <row r="1497" spans="1:1" x14ac:dyDescent="0.25">
      <c r="A1497">
        <f>IFERROR(Fichas!A499,"")</f>
      </c>
    </row>
    <row r="1498" spans="1:1" x14ac:dyDescent="0.25">
      <c r="A1498">
        <f>IFERROR(Fichas!A500,"")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2" customWidth="1"/>
    <col min="4" max="5" width="14" customWidth="1"/>
    <col min="6" max="6" width="12" customWidth="1"/>
    <col min="7" max="8" width="16" customWidth="1"/>
    <col min="9" max="9" width="24" customWidth="1"/>
  </cols>
  <sheetData>
    <row r="1" ht="32" customHeight="1" spans="1:9" x14ac:dyDescent="0.25">
      <c r="A1" s="6" t="s">
        <v>175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</row>
    <row r="2" spans="1:9" x14ac:dyDescent="0.25">
      <c r="A2" s="7" t="s">
        <v>160</v>
      </c>
      <c r="B2" s="8">
        <f>IF(C2="","",IF(ISNUMBER(MATCH(C2,Insumos!$A:$A,0)),"insumo",IF(ISNUMBER(MATCH(C2,Preparos!$A:$A,0)),"preparo","")))</f>
      </c>
      <c r="C2" s="7" t="s">
        <v>125</v>
      </c>
      <c r="D2" s="7">
        <v>2000</v>
      </c>
      <c r="E2" s="8">
        <f>IF(C2="","",IFERROR(VLOOKUP(C2,Insumos!$A:$I,9,FALSE),IFERROR(VLOOKUP(C2,Preparos!$A:$D,4,FALSE),"")))</f>
      </c>
      <c r="F2" s="8">
        <f>IF(C2="","",IFERROR(VLOOKUP(C2,Insumos!$A:$G,7,FALSE),100))</f>
      </c>
      <c r="G2" s="9">
        <f>IF(C2="","",IFERROR(VLOOKUP(C2,Insumos!$A:$J,10,FALSE),IFERROR(VLOOKUP(C2,Preparos!$A:$F,6,FALSE),0)))</f>
      </c>
      <c r="H2" s="10">
        <f>IF(OR(D2="",G2="",F2=0),"",D2*G2*(100/F2))</f>
      </c>
      <c r="I2" s="5"/>
    </row>
    <row r="3" spans="1:9" x14ac:dyDescent="0.25">
      <c r="A3" s="7" t="s">
        <v>160</v>
      </c>
      <c r="B3" s="8">
        <f>IF(C3="","",IF(ISNUMBER(MATCH(C3,Insumos!$A:$A,0)),"insumo",IF(ISNUMBER(MATCH(C3,Preparos!$A:$A,0)),"preparo","")))</f>
      </c>
      <c r="C3" s="7" t="s">
        <v>127</v>
      </c>
      <c r="D3" s="7">
        <v>300</v>
      </c>
      <c r="E3" s="8">
        <f>IF(C3="","",IFERROR(VLOOKUP(C3,Insumos!$A:$I,9,FALSE),IFERROR(VLOOKUP(C3,Preparos!$A:$D,4,FALSE),"")))</f>
      </c>
      <c r="F3" s="8">
        <f>IF(C3="","",IFERROR(VLOOKUP(C3,Insumos!$A:$G,7,FALSE),100))</f>
      </c>
      <c r="G3" s="9">
        <f>IF(C3="","",IFERROR(VLOOKUP(C3,Insumos!$A:$J,10,FALSE),IFERROR(VLOOKUP(C3,Preparos!$A:$F,6,FALSE),0)))</f>
      </c>
      <c r="H3" s="10">
        <f>IF(OR(D3="",G3="",F3=0),"",D3*G3*(100/F3))</f>
      </c>
      <c r="I3" s="5"/>
    </row>
    <row r="4" spans="1:9" x14ac:dyDescent="0.25">
      <c r="A4" s="7" t="s">
        <v>160</v>
      </c>
      <c r="B4" s="8">
        <f>IF(C4="","",IF(ISNUMBER(MATCH(C4,Insumos!$A:$A,0)),"insumo",IF(ISNUMBER(MATCH(C4,Preparos!$A:$A,0)),"preparo","")))</f>
      </c>
      <c r="C4" s="7" t="s">
        <v>129</v>
      </c>
      <c r="D4" s="7">
        <v>50</v>
      </c>
      <c r="E4" s="8">
        <f>IF(C4="","",IFERROR(VLOOKUP(C4,Insumos!$A:$I,9,FALSE),IFERROR(VLOOKUP(C4,Preparos!$A:$D,4,FALSE),"")))</f>
      </c>
      <c r="F4" s="8">
        <f>IF(C4="","",IFERROR(VLOOKUP(C4,Insumos!$A:$G,7,FALSE),100))</f>
      </c>
      <c r="G4" s="9">
        <f>IF(C4="","",IFERROR(VLOOKUP(C4,Insumos!$A:$J,10,FALSE),IFERROR(VLOOKUP(C4,Preparos!$A:$F,6,FALSE),0)))</f>
      </c>
      <c r="H4" s="10">
        <f>IF(OR(D4="",G4="",F4=0),"",D4*G4*(100/F4))</f>
      </c>
      <c r="I4" s="5"/>
    </row>
    <row r="5" spans="1:9" x14ac:dyDescent="0.25">
      <c r="A5" s="7" t="s">
        <v>160</v>
      </c>
      <c r="B5" s="8">
        <f>IF(C5="","",IF(ISNUMBER(MATCH(C5,Insumos!$A:$A,0)),"insumo",IF(ISNUMBER(MATCH(C5,Preparos!$A:$A,0)),"preparo","")))</f>
      </c>
      <c r="C5" s="7" t="s">
        <v>131</v>
      </c>
      <c r="D5" s="7">
        <v>100</v>
      </c>
      <c r="E5" s="8">
        <f>IF(C5="","",IFERROR(VLOOKUP(C5,Insumos!$A:$I,9,FALSE),IFERROR(VLOOKUP(C5,Preparos!$A:$D,4,FALSE),"")))</f>
      </c>
      <c r="F5" s="8">
        <f>IF(C5="","",IFERROR(VLOOKUP(C5,Insumos!$A:$G,7,FALSE),100))</f>
      </c>
      <c r="G5" s="9">
        <f>IF(C5="","",IFERROR(VLOOKUP(C5,Insumos!$A:$J,10,FALSE),IFERROR(VLOOKUP(C5,Preparos!$A:$F,6,FALSE),0)))</f>
      </c>
      <c r="H5" s="10">
        <f>IF(OR(D5="",G5="",F5=0),"",D5*G5*(100/F5))</f>
      </c>
      <c r="I5" s="5"/>
    </row>
    <row r="6" spans="1:9" x14ac:dyDescent="0.25">
      <c r="A6" s="7" t="s">
        <v>162</v>
      </c>
      <c r="B6" s="8">
        <f>IF(C6="","",IF(ISNUMBER(MATCH(C6,Insumos!$A:$A,0)),"insumo",IF(ISNUMBER(MATCH(C6,Preparos!$A:$A,0)),"preparo","")))</f>
      </c>
      <c r="C6" s="7" t="s">
        <v>160</v>
      </c>
      <c r="D6" s="7">
        <v>1500</v>
      </c>
      <c r="E6" s="8">
        <f>IF(C6="","",IFERROR(VLOOKUP(C6,Insumos!$A:$I,9,FALSE),IFERROR(VLOOKUP(C6,Preparos!$A:$D,4,FALSE),"")))</f>
      </c>
      <c r="F6" s="8">
        <f>IF(C6="","",IFERROR(VLOOKUP(C6,Insumos!$A:$G,7,FALSE),100))</f>
      </c>
      <c r="G6" s="9">
        <f>IF(C6="","",IFERROR(VLOOKUP(C6,Insumos!$A:$J,10,FALSE),IFERROR(VLOOKUP(C6,Preparos!$A:$F,6,FALSE),0)))</f>
      </c>
      <c r="H6" s="10">
        <f>IF(OR(D6="",G6="",F6=0),"",D6*G6*(100/F6))</f>
      </c>
      <c r="I6" s="5"/>
    </row>
    <row r="7" spans="1:9" x14ac:dyDescent="0.25">
      <c r="A7" s="7" t="s">
        <v>162</v>
      </c>
      <c r="B7" s="8">
        <f>IF(C7="","",IF(ISNUMBER(MATCH(C7,Insumos!$A:$A,0)),"insumo",IF(ISNUMBER(MATCH(C7,Preparos!$A:$A,0)),"preparo","")))</f>
      </c>
      <c r="C7" s="7" t="s">
        <v>121</v>
      </c>
      <c r="D7" s="7">
        <v>1000</v>
      </c>
      <c r="E7" s="8">
        <f>IF(C7="","",IFERROR(VLOOKUP(C7,Insumos!$A:$I,9,FALSE),IFERROR(VLOOKUP(C7,Preparos!$A:$D,4,FALSE),"")))</f>
      </c>
      <c r="F7" s="8">
        <f>IF(C7="","",IFERROR(VLOOKUP(C7,Insumos!$A:$G,7,FALSE),100))</f>
      </c>
      <c r="G7" s="9">
        <f>IF(C7="","",IFERROR(VLOOKUP(C7,Insumos!$A:$J,10,FALSE),IFERROR(VLOOKUP(C7,Preparos!$A:$F,6,FALSE),0)))</f>
      </c>
      <c r="H7" s="10">
        <f>IF(OR(D7="",G7="",F7=0),"",D7*G7*(100/F7))</f>
      </c>
      <c r="I7" s="5"/>
    </row>
    <row r="8" spans="1:9" x14ac:dyDescent="0.25">
      <c r="A8" s="7" t="s">
        <v>162</v>
      </c>
      <c r="B8" s="8">
        <f>IF(C8="","",IF(ISNUMBER(MATCH(C8,Insumos!$A:$A,0)),"insumo",IF(ISNUMBER(MATCH(C8,Preparos!$A:$A,0)),"preparo","")))</f>
      </c>
      <c r="C8" s="7" t="s">
        <v>127</v>
      </c>
      <c r="D8" s="7">
        <v>200</v>
      </c>
      <c r="E8" s="8">
        <f>IF(C8="","",IFERROR(VLOOKUP(C8,Insumos!$A:$I,9,FALSE),IFERROR(VLOOKUP(C8,Preparos!$A:$D,4,FALSE),"")))</f>
      </c>
      <c r="F8" s="8">
        <f>IF(C8="","",IFERROR(VLOOKUP(C8,Insumos!$A:$G,7,FALSE),100))</f>
      </c>
      <c r="G8" s="9">
        <f>IF(C8="","",IFERROR(VLOOKUP(C8,Insumos!$A:$J,10,FALSE),IFERROR(VLOOKUP(C8,Preparos!$A:$F,6,FALSE),0)))</f>
      </c>
      <c r="H8" s="10">
        <f>IF(OR(D8="",G8="",F8=0),"",D8*G8*(100/F8))</f>
      </c>
      <c r="I8" s="5"/>
    </row>
    <row r="9" spans="1:9" x14ac:dyDescent="0.25">
      <c r="A9" s="7" t="s">
        <v>164</v>
      </c>
      <c r="B9" s="8">
        <f>IF(C9="","",IF(ISNUMBER(MATCH(C9,Insumos!$A:$A,0)),"insumo",IF(ISNUMBER(MATCH(C9,Preparos!$A:$A,0)),"preparo","")))</f>
      </c>
      <c r="C9" s="7" t="s">
        <v>121</v>
      </c>
      <c r="D9" s="7">
        <v>80</v>
      </c>
      <c r="E9" s="8">
        <f>IF(C9="","",IFERROR(VLOOKUP(C9,Insumos!$A:$I,9,FALSE),IFERROR(VLOOKUP(C9,Preparos!$A:$D,4,FALSE),"")))</f>
      </c>
      <c r="F9" s="8">
        <f>IF(C9="","",IFERROR(VLOOKUP(C9,Insumos!$A:$G,7,FALSE),100))</f>
      </c>
      <c r="G9" s="9">
        <f>IF(C9="","",IFERROR(VLOOKUP(C9,Insumos!$A:$J,10,FALSE),IFERROR(VLOOKUP(C9,Preparos!$A:$F,6,FALSE),0)))</f>
      </c>
      <c r="H9" s="10">
        <f>IF(OR(D9="",G9="",F9=0),"",D9*G9*(100/F9))</f>
      </c>
      <c r="I9" s="5"/>
    </row>
    <row r="10" spans="1:9" x14ac:dyDescent="0.25">
      <c r="A10" s="7" t="s">
        <v>166</v>
      </c>
      <c r="B10" s="8">
        <f>IF(C10="","",IF(ISNUMBER(MATCH(C10,Insumos!$A:$A,0)),"insumo",IF(ISNUMBER(MATCH(C10,Preparos!$A:$A,0)),"preparo","")))</f>
      </c>
      <c r="C10" s="7" t="s">
        <v>138</v>
      </c>
      <c r="D10" s="7">
        <v>700</v>
      </c>
      <c r="E10" s="8">
        <f>IF(C10="","",IFERROR(VLOOKUP(C10,Insumos!$A:$I,9,FALSE),IFERROR(VLOOKUP(C10,Preparos!$A:$D,4,FALSE),"")))</f>
      </c>
      <c r="F10" s="8">
        <f>IF(C10="","",IFERROR(VLOOKUP(C10,Insumos!$A:$G,7,FALSE),100))</f>
      </c>
      <c r="G10" s="9">
        <f>IF(C10="","",IFERROR(VLOOKUP(C10,Insumos!$A:$J,10,FALSE),IFERROR(VLOOKUP(C10,Preparos!$A:$F,6,FALSE),0)))</f>
      </c>
      <c r="H10" s="10">
        <f>IF(OR(D10="",G10="",F10=0),"",D10*G10*(100/F10))</f>
      </c>
      <c r="I10" s="5"/>
    </row>
    <row r="11" spans="1:9" x14ac:dyDescent="0.25">
      <c r="A11" s="7" t="s">
        <v>166</v>
      </c>
      <c r="B11" s="8">
        <f>IF(C11="","",IF(ISNUMBER(MATCH(C11,Insumos!$A:$A,0)),"insumo",IF(ISNUMBER(MATCH(C11,Preparos!$A:$A,0)),"preparo","")))</f>
      </c>
      <c r="C11" s="7" t="s">
        <v>140</v>
      </c>
      <c r="D11" s="7">
        <v>7</v>
      </c>
      <c r="E11" s="8">
        <f>IF(C11="","",IFERROR(VLOOKUP(C11,Insumos!$A:$I,9,FALSE),IFERROR(VLOOKUP(C11,Preparos!$A:$D,4,FALSE),"")))</f>
      </c>
      <c r="F11" s="8">
        <f>IF(C11="","",IFERROR(VLOOKUP(C11,Insumos!$A:$G,7,FALSE),100))</f>
      </c>
      <c r="G11" s="9">
        <f>IF(C11="","",IFERROR(VLOOKUP(C11,Insumos!$A:$J,10,FALSE),IFERROR(VLOOKUP(C11,Preparos!$A:$F,6,FALSE),0)))</f>
      </c>
      <c r="H11" s="10">
        <f>IF(OR(D11="",G11="",F11=0),"",D11*G11*(100/F11))</f>
      </c>
      <c r="I11" s="5"/>
    </row>
    <row r="12" spans="1:9" x14ac:dyDescent="0.25">
      <c r="A12" s="7"/>
      <c r="B12" s="8">
        <f>IF(C12="","",IF(ISNUMBER(MATCH(C12,Insumos!$A:$A,0)),"insumo",IF(ISNUMBER(MATCH(C12,Preparos!$A:$A,0)),"preparo","")))</f>
      </c>
      <c r="C12" s="7"/>
      <c r="D12" s="7"/>
      <c r="E12" s="8">
        <f>IF(C12="","",IFERROR(VLOOKUP(C12,Insumos!$A:$I,9,FALSE),IFERROR(VLOOKUP(C12,Preparos!$A:$D,4,FALSE),"")))</f>
      </c>
      <c r="F12" s="8">
        <f>IF(C12="","",IFERROR(VLOOKUP(C12,Insumos!$A:$G,7,FALSE),100))</f>
      </c>
      <c r="G12" s="9">
        <f>IF(C12="","",IFERROR(VLOOKUP(C12,Insumos!$A:$J,10,FALSE),IFERROR(VLOOKUP(C12,Preparos!$A:$F,6,FALSE),0)))</f>
      </c>
      <c r="H12" s="10">
        <f>IF(OR(D12="",G12="",F12=0),"",D12*G12*(100/F12))</f>
      </c>
      <c r="I12" s="5"/>
    </row>
    <row r="13" spans="1:9" x14ac:dyDescent="0.25">
      <c r="A13" s="7"/>
      <c r="B13" s="8">
        <f>IF(C13="","",IF(ISNUMBER(MATCH(C13,Insumos!$A:$A,0)),"insumo",IF(ISNUMBER(MATCH(C13,Preparos!$A:$A,0)),"preparo","")))</f>
      </c>
      <c r="C13" s="7"/>
      <c r="D13" s="7"/>
      <c r="E13" s="8">
        <f>IF(C13="","",IFERROR(VLOOKUP(C13,Insumos!$A:$I,9,FALSE),IFERROR(VLOOKUP(C13,Preparos!$A:$D,4,FALSE),"")))</f>
      </c>
      <c r="F13" s="8">
        <f>IF(C13="","",IFERROR(VLOOKUP(C13,Insumos!$A:$G,7,FALSE),100))</f>
      </c>
      <c r="G13" s="9">
        <f>IF(C13="","",IFERROR(VLOOKUP(C13,Insumos!$A:$J,10,FALSE),IFERROR(VLOOKUP(C13,Preparos!$A:$F,6,FALSE),0)))</f>
      </c>
      <c r="H13" s="10">
        <f>IF(OR(D13="",G13="",F13=0),"",D13*G13*(100/F13))</f>
      </c>
      <c r="I13" s="5"/>
    </row>
    <row r="14" spans="1:9" x14ac:dyDescent="0.25">
      <c r="A14" s="7"/>
      <c r="B14" s="8">
        <f>IF(C14="","",IF(ISNUMBER(MATCH(C14,Insumos!$A:$A,0)),"insumo",IF(ISNUMBER(MATCH(C14,Preparos!$A:$A,0)),"preparo","")))</f>
      </c>
      <c r="C14" s="7"/>
      <c r="D14" s="7"/>
      <c r="E14" s="8">
        <f>IF(C14="","",IFERROR(VLOOKUP(C14,Insumos!$A:$I,9,FALSE),IFERROR(VLOOKUP(C14,Preparos!$A:$D,4,FALSE),"")))</f>
      </c>
      <c r="F14" s="8">
        <f>IF(C14="","",IFERROR(VLOOKUP(C14,Insumos!$A:$G,7,FALSE),100))</f>
      </c>
      <c r="G14" s="9">
        <f>IF(C14="","",IFERROR(VLOOKUP(C14,Insumos!$A:$J,10,FALSE),IFERROR(VLOOKUP(C14,Preparos!$A:$F,6,FALSE),0)))</f>
      </c>
      <c r="H14" s="10">
        <f>IF(OR(D14="",G14="",F14=0),"",D14*G14*(100/F14))</f>
      </c>
      <c r="I14" s="5"/>
    </row>
    <row r="15" spans="1:9" x14ac:dyDescent="0.25">
      <c r="A15" s="7"/>
      <c r="B15" s="8">
        <f>IF(C15="","",IF(ISNUMBER(MATCH(C15,Insumos!$A:$A,0)),"insumo",IF(ISNUMBER(MATCH(C15,Preparos!$A:$A,0)),"preparo","")))</f>
      </c>
      <c r="C15" s="7"/>
      <c r="D15" s="7"/>
      <c r="E15" s="8">
        <f>IF(C15="","",IFERROR(VLOOKUP(C15,Insumos!$A:$I,9,FALSE),IFERROR(VLOOKUP(C15,Preparos!$A:$D,4,FALSE),"")))</f>
      </c>
      <c r="F15" s="8">
        <f>IF(C15="","",IFERROR(VLOOKUP(C15,Insumos!$A:$G,7,FALSE),100))</f>
      </c>
      <c r="G15" s="9">
        <f>IF(C15="","",IFERROR(VLOOKUP(C15,Insumos!$A:$J,10,FALSE),IFERROR(VLOOKUP(C15,Preparos!$A:$F,6,FALSE),0)))</f>
      </c>
      <c r="H15" s="10">
        <f>IF(OR(D15="",G15="",F15=0),"",D15*G15*(100/F15))</f>
      </c>
      <c r="I15" s="5"/>
    </row>
    <row r="16" spans="1:9" x14ac:dyDescent="0.25">
      <c r="A16" s="7"/>
      <c r="B16" s="8">
        <f>IF(C16="","",IF(ISNUMBER(MATCH(C16,Insumos!$A:$A,0)),"insumo",IF(ISNUMBER(MATCH(C16,Preparos!$A:$A,0)),"preparo","")))</f>
      </c>
      <c r="C16" s="7"/>
      <c r="D16" s="7"/>
      <c r="E16" s="8">
        <f>IF(C16="","",IFERROR(VLOOKUP(C16,Insumos!$A:$I,9,FALSE),IFERROR(VLOOKUP(C16,Preparos!$A:$D,4,FALSE),"")))</f>
      </c>
      <c r="F16" s="8">
        <f>IF(C16="","",IFERROR(VLOOKUP(C16,Insumos!$A:$G,7,FALSE),100))</f>
      </c>
      <c r="G16" s="9">
        <f>IF(C16="","",IFERROR(VLOOKUP(C16,Insumos!$A:$J,10,FALSE),IFERROR(VLOOKUP(C16,Preparos!$A:$F,6,FALSE),0)))</f>
      </c>
      <c r="H16" s="10">
        <f>IF(OR(D16="",G16="",F16=0),"",D16*G16*(100/F16))</f>
      </c>
      <c r="I16" s="5"/>
    </row>
    <row r="17" spans="1:9" x14ac:dyDescent="0.25">
      <c r="A17" s="7"/>
      <c r="B17" s="8">
        <f>IF(C17="","",IF(ISNUMBER(MATCH(C17,Insumos!$A:$A,0)),"insumo",IF(ISNUMBER(MATCH(C17,Preparos!$A:$A,0)),"preparo","")))</f>
      </c>
      <c r="C17" s="7"/>
      <c r="D17" s="7"/>
      <c r="E17" s="8">
        <f>IF(C17="","",IFERROR(VLOOKUP(C17,Insumos!$A:$I,9,FALSE),IFERROR(VLOOKUP(C17,Preparos!$A:$D,4,FALSE),"")))</f>
      </c>
      <c r="F17" s="8">
        <f>IF(C17="","",IFERROR(VLOOKUP(C17,Insumos!$A:$G,7,FALSE),100))</f>
      </c>
      <c r="G17" s="9">
        <f>IF(C17="","",IFERROR(VLOOKUP(C17,Insumos!$A:$J,10,FALSE),IFERROR(VLOOKUP(C17,Preparos!$A:$F,6,FALSE),0)))</f>
      </c>
      <c r="H17" s="10">
        <f>IF(OR(D17="",G17="",F17=0),"",D17*G17*(100/F17))</f>
      </c>
      <c r="I17" s="5"/>
    </row>
    <row r="18" spans="1:9" x14ac:dyDescent="0.25">
      <c r="A18" s="7"/>
      <c r="B18" s="8">
        <f>IF(C18="","",IF(ISNUMBER(MATCH(C18,Insumos!$A:$A,0)),"insumo",IF(ISNUMBER(MATCH(C18,Preparos!$A:$A,0)),"preparo","")))</f>
      </c>
      <c r="C18" s="7"/>
      <c r="D18" s="7"/>
      <c r="E18" s="8">
        <f>IF(C18="","",IFERROR(VLOOKUP(C18,Insumos!$A:$I,9,FALSE),IFERROR(VLOOKUP(C18,Preparos!$A:$D,4,FALSE),"")))</f>
      </c>
      <c r="F18" s="8">
        <f>IF(C18="","",IFERROR(VLOOKUP(C18,Insumos!$A:$G,7,FALSE),100))</f>
      </c>
      <c r="G18" s="9">
        <f>IF(C18="","",IFERROR(VLOOKUP(C18,Insumos!$A:$J,10,FALSE),IFERROR(VLOOKUP(C18,Preparos!$A:$F,6,FALSE),0)))</f>
      </c>
      <c r="H18" s="10">
        <f>IF(OR(D18="",G18="",F18=0),"",D18*G18*(100/F18))</f>
      </c>
      <c r="I18" s="5"/>
    </row>
    <row r="19" spans="1:9" x14ac:dyDescent="0.25">
      <c r="A19" s="7"/>
      <c r="B19" s="8">
        <f>IF(C19="","",IF(ISNUMBER(MATCH(C19,Insumos!$A:$A,0)),"insumo",IF(ISNUMBER(MATCH(C19,Preparos!$A:$A,0)),"preparo","")))</f>
      </c>
      <c r="C19" s="7"/>
      <c r="D19" s="7"/>
      <c r="E19" s="8">
        <f>IF(C19="","",IFERROR(VLOOKUP(C19,Insumos!$A:$I,9,FALSE),IFERROR(VLOOKUP(C19,Preparos!$A:$D,4,FALSE),"")))</f>
      </c>
      <c r="F19" s="8">
        <f>IF(C19="","",IFERROR(VLOOKUP(C19,Insumos!$A:$G,7,FALSE),100))</f>
      </c>
      <c r="G19" s="9">
        <f>IF(C19="","",IFERROR(VLOOKUP(C19,Insumos!$A:$J,10,FALSE),IFERROR(VLOOKUP(C19,Preparos!$A:$F,6,FALSE),0)))</f>
      </c>
      <c r="H19" s="10">
        <f>IF(OR(D19="",G19="",F19=0),"",D19*G19*(100/F19))</f>
      </c>
      <c r="I19" s="5"/>
    </row>
    <row r="20" spans="1:9" x14ac:dyDescent="0.25">
      <c r="A20" s="7"/>
      <c r="B20" s="8">
        <f>IF(C20="","",IF(ISNUMBER(MATCH(C20,Insumos!$A:$A,0)),"insumo",IF(ISNUMBER(MATCH(C20,Preparos!$A:$A,0)),"preparo","")))</f>
      </c>
      <c r="C20" s="7"/>
      <c r="D20" s="7"/>
      <c r="E20" s="8">
        <f>IF(C20="","",IFERROR(VLOOKUP(C20,Insumos!$A:$I,9,FALSE),IFERROR(VLOOKUP(C20,Preparos!$A:$D,4,FALSE),"")))</f>
      </c>
      <c r="F20" s="8">
        <f>IF(C20="","",IFERROR(VLOOKUP(C20,Insumos!$A:$G,7,FALSE),100))</f>
      </c>
      <c r="G20" s="9">
        <f>IF(C20="","",IFERROR(VLOOKUP(C20,Insumos!$A:$J,10,FALSE),IFERROR(VLOOKUP(C20,Preparos!$A:$F,6,FALSE),0)))</f>
      </c>
      <c r="H20" s="10">
        <f>IF(OR(D20="",G20="",F20=0),"",D20*G20*(100/F20))</f>
      </c>
      <c r="I20" s="5"/>
    </row>
    <row r="21" spans="1:9" x14ac:dyDescent="0.25">
      <c r="A21" s="7"/>
      <c r="B21" s="8">
        <f>IF(C21="","",IF(ISNUMBER(MATCH(C21,Insumos!$A:$A,0)),"insumo",IF(ISNUMBER(MATCH(C21,Preparos!$A:$A,0)),"preparo","")))</f>
      </c>
      <c r="C21" s="7"/>
      <c r="D21" s="7"/>
      <c r="E21" s="8">
        <f>IF(C21="","",IFERROR(VLOOKUP(C21,Insumos!$A:$I,9,FALSE),IFERROR(VLOOKUP(C21,Preparos!$A:$D,4,FALSE),"")))</f>
      </c>
      <c r="F21" s="8">
        <f>IF(C21="","",IFERROR(VLOOKUP(C21,Insumos!$A:$G,7,FALSE),100))</f>
      </c>
      <c r="G21" s="9">
        <f>IF(C21="","",IFERROR(VLOOKUP(C21,Insumos!$A:$J,10,FALSE),IFERROR(VLOOKUP(C21,Preparos!$A:$F,6,FALSE),0)))</f>
      </c>
      <c r="H21" s="10">
        <f>IF(OR(D21="",G21="",F21=0),"",D21*G21*(100/F21))</f>
      </c>
      <c r="I21" s="5"/>
    </row>
    <row r="22" spans="1:9" x14ac:dyDescent="0.25">
      <c r="A22" s="7"/>
      <c r="B22" s="8">
        <f>IF(C22="","",IF(ISNUMBER(MATCH(C22,Insumos!$A:$A,0)),"insumo",IF(ISNUMBER(MATCH(C22,Preparos!$A:$A,0)),"preparo","")))</f>
      </c>
      <c r="C22" s="7"/>
      <c r="D22" s="7"/>
      <c r="E22" s="8">
        <f>IF(C22="","",IFERROR(VLOOKUP(C22,Insumos!$A:$I,9,FALSE),IFERROR(VLOOKUP(C22,Preparos!$A:$D,4,FALSE),"")))</f>
      </c>
      <c r="F22" s="8">
        <f>IF(C22="","",IFERROR(VLOOKUP(C22,Insumos!$A:$G,7,FALSE),100))</f>
      </c>
      <c r="G22" s="9">
        <f>IF(C22="","",IFERROR(VLOOKUP(C22,Insumos!$A:$J,10,FALSE),IFERROR(VLOOKUP(C22,Preparos!$A:$F,6,FALSE),0)))</f>
      </c>
      <c r="H22" s="10">
        <f>IF(OR(D22="",G22="",F22=0),"",D22*G22*(100/F22))</f>
      </c>
      <c r="I22" s="5"/>
    </row>
    <row r="23" spans="1:9" x14ac:dyDescent="0.25">
      <c r="A23" s="7"/>
      <c r="B23" s="8">
        <f>IF(C23="","",IF(ISNUMBER(MATCH(C23,Insumos!$A:$A,0)),"insumo",IF(ISNUMBER(MATCH(C23,Preparos!$A:$A,0)),"preparo","")))</f>
      </c>
      <c r="C23" s="7"/>
      <c r="D23" s="7"/>
      <c r="E23" s="8">
        <f>IF(C23="","",IFERROR(VLOOKUP(C23,Insumos!$A:$I,9,FALSE),IFERROR(VLOOKUP(C23,Preparos!$A:$D,4,FALSE),"")))</f>
      </c>
      <c r="F23" s="8">
        <f>IF(C23="","",IFERROR(VLOOKUP(C23,Insumos!$A:$G,7,FALSE),100))</f>
      </c>
      <c r="G23" s="9">
        <f>IF(C23="","",IFERROR(VLOOKUP(C23,Insumos!$A:$J,10,FALSE),IFERROR(VLOOKUP(C23,Preparos!$A:$F,6,FALSE),0)))</f>
      </c>
      <c r="H23" s="10">
        <f>IF(OR(D23="",G23="",F23=0),"",D23*G23*(100/F23))</f>
      </c>
      <c r="I23" s="5"/>
    </row>
    <row r="24" spans="1:9" x14ac:dyDescent="0.25">
      <c r="A24" s="7"/>
      <c r="B24" s="8">
        <f>IF(C24="","",IF(ISNUMBER(MATCH(C24,Insumos!$A:$A,0)),"insumo",IF(ISNUMBER(MATCH(C24,Preparos!$A:$A,0)),"preparo","")))</f>
      </c>
      <c r="C24" s="7"/>
      <c r="D24" s="7"/>
      <c r="E24" s="8">
        <f>IF(C24="","",IFERROR(VLOOKUP(C24,Insumos!$A:$I,9,FALSE),IFERROR(VLOOKUP(C24,Preparos!$A:$D,4,FALSE),"")))</f>
      </c>
      <c r="F24" s="8">
        <f>IF(C24="","",IFERROR(VLOOKUP(C24,Insumos!$A:$G,7,FALSE),100))</f>
      </c>
      <c r="G24" s="9">
        <f>IF(C24="","",IFERROR(VLOOKUP(C24,Insumos!$A:$J,10,FALSE),IFERROR(VLOOKUP(C24,Preparos!$A:$F,6,FALSE),0)))</f>
      </c>
      <c r="H24" s="10">
        <f>IF(OR(D24="",G24="",F24=0),"",D24*G24*(100/F24))</f>
      </c>
      <c r="I24" s="5"/>
    </row>
    <row r="25" spans="1:9" x14ac:dyDescent="0.25">
      <c r="A25" s="7"/>
      <c r="B25" s="8">
        <f>IF(C25="","",IF(ISNUMBER(MATCH(C25,Insumos!$A:$A,0)),"insumo",IF(ISNUMBER(MATCH(C25,Preparos!$A:$A,0)),"preparo","")))</f>
      </c>
      <c r="C25" s="7"/>
      <c r="D25" s="7"/>
      <c r="E25" s="8">
        <f>IF(C25="","",IFERROR(VLOOKUP(C25,Insumos!$A:$I,9,FALSE),IFERROR(VLOOKUP(C25,Preparos!$A:$D,4,FALSE),"")))</f>
      </c>
      <c r="F25" s="8">
        <f>IF(C25="","",IFERROR(VLOOKUP(C25,Insumos!$A:$G,7,FALSE),100))</f>
      </c>
      <c r="G25" s="9">
        <f>IF(C25="","",IFERROR(VLOOKUP(C25,Insumos!$A:$J,10,FALSE),IFERROR(VLOOKUP(C25,Preparos!$A:$F,6,FALSE),0)))</f>
      </c>
      <c r="H25" s="10">
        <f>IF(OR(D25="",G25="",F25=0),"",D25*G25*(100/F25))</f>
      </c>
      <c r="I25" s="5"/>
    </row>
    <row r="26" spans="1:9" x14ac:dyDescent="0.25">
      <c r="A26" s="7"/>
      <c r="B26" s="8">
        <f>IF(C26="","",IF(ISNUMBER(MATCH(C26,Insumos!$A:$A,0)),"insumo",IF(ISNUMBER(MATCH(C26,Preparos!$A:$A,0)),"preparo","")))</f>
      </c>
      <c r="C26" s="7"/>
      <c r="D26" s="7"/>
      <c r="E26" s="8">
        <f>IF(C26="","",IFERROR(VLOOKUP(C26,Insumos!$A:$I,9,FALSE),IFERROR(VLOOKUP(C26,Preparos!$A:$D,4,FALSE),"")))</f>
      </c>
      <c r="F26" s="8">
        <f>IF(C26="","",IFERROR(VLOOKUP(C26,Insumos!$A:$G,7,FALSE),100))</f>
      </c>
      <c r="G26" s="9">
        <f>IF(C26="","",IFERROR(VLOOKUP(C26,Insumos!$A:$J,10,FALSE),IFERROR(VLOOKUP(C26,Preparos!$A:$F,6,FALSE),0)))</f>
      </c>
      <c r="H26" s="10">
        <f>IF(OR(D26="",G26="",F26=0),"",D26*G26*(100/F26))</f>
      </c>
      <c r="I26" s="5"/>
    </row>
    <row r="27" spans="1:9" x14ac:dyDescent="0.25">
      <c r="A27" s="7"/>
      <c r="B27" s="8">
        <f>IF(C27="","",IF(ISNUMBER(MATCH(C27,Insumos!$A:$A,0)),"insumo",IF(ISNUMBER(MATCH(C27,Preparos!$A:$A,0)),"preparo","")))</f>
      </c>
      <c r="C27" s="7"/>
      <c r="D27" s="7"/>
      <c r="E27" s="8">
        <f>IF(C27="","",IFERROR(VLOOKUP(C27,Insumos!$A:$I,9,FALSE),IFERROR(VLOOKUP(C27,Preparos!$A:$D,4,FALSE),"")))</f>
      </c>
      <c r="F27" s="8">
        <f>IF(C27="","",IFERROR(VLOOKUP(C27,Insumos!$A:$G,7,FALSE),100))</f>
      </c>
      <c r="G27" s="9">
        <f>IF(C27="","",IFERROR(VLOOKUP(C27,Insumos!$A:$J,10,FALSE),IFERROR(VLOOKUP(C27,Preparos!$A:$F,6,FALSE),0)))</f>
      </c>
      <c r="H27" s="10">
        <f>IF(OR(D27="",G27="",F27=0),"",D27*G27*(100/F27))</f>
      </c>
      <c r="I27" s="5"/>
    </row>
    <row r="28" spans="1:9" x14ac:dyDescent="0.25">
      <c r="A28" s="7"/>
      <c r="B28" s="8">
        <f>IF(C28="","",IF(ISNUMBER(MATCH(C28,Insumos!$A:$A,0)),"insumo",IF(ISNUMBER(MATCH(C28,Preparos!$A:$A,0)),"preparo","")))</f>
      </c>
      <c r="C28" s="7"/>
      <c r="D28" s="7"/>
      <c r="E28" s="8">
        <f>IF(C28="","",IFERROR(VLOOKUP(C28,Insumos!$A:$I,9,FALSE),IFERROR(VLOOKUP(C28,Preparos!$A:$D,4,FALSE),"")))</f>
      </c>
      <c r="F28" s="8">
        <f>IF(C28="","",IFERROR(VLOOKUP(C28,Insumos!$A:$G,7,FALSE),100))</f>
      </c>
      <c r="G28" s="9">
        <f>IF(C28="","",IFERROR(VLOOKUP(C28,Insumos!$A:$J,10,FALSE),IFERROR(VLOOKUP(C28,Preparos!$A:$F,6,FALSE),0)))</f>
      </c>
      <c r="H28" s="10">
        <f>IF(OR(D28="",G28="",F28=0),"",D28*G28*(100/F28))</f>
      </c>
      <c r="I28" s="5"/>
    </row>
    <row r="29" spans="1:9" x14ac:dyDescent="0.25">
      <c r="A29" s="7"/>
      <c r="B29" s="8">
        <f>IF(C29="","",IF(ISNUMBER(MATCH(C29,Insumos!$A:$A,0)),"insumo",IF(ISNUMBER(MATCH(C29,Preparos!$A:$A,0)),"preparo","")))</f>
      </c>
      <c r="C29" s="7"/>
      <c r="D29" s="7"/>
      <c r="E29" s="8">
        <f>IF(C29="","",IFERROR(VLOOKUP(C29,Insumos!$A:$I,9,FALSE),IFERROR(VLOOKUP(C29,Preparos!$A:$D,4,FALSE),"")))</f>
      </c>
      <c r="F29" s="8">
        <f>IF(C29="","",IFERROR(VLOOKUP(C29,Insumos!$A:$G,7,FALSE),100))</f>
      </c>
      <c r="G29" s="9">
        <f>IF(C29="","",IFERROR(VLOOKUP(C29,Insumos!$A:$J,10,FALSE),IFERROR(VLOOKUP(C29,Preparos!$A:$F,6,FALSE),0)))</f>
      </c>
      <c r="H29" s="10">
        <f>IF(OR(D29="",G29="",F29=0),"",D29*G29*(100/F29))</f>
      </c>
      <c r="I29" s="5"/>
    </row>
    <row r="30" spans="1:9" x14ac:dyDescent="0.25">
      <c r="A30" s="7"/>
      <c r="B30" s="8">
        <f>IF(C30="","",IF(ISNUMBER(MATCH(C30,Insumos!$A:$A,0)),"insumo",IF(ISNUMBER(MATCH(C30,Preparos!$A:$A,0)),"preparo","")))</f>
      </c>
      <c r="C30" s="7"/>
      <c r="D30" s="7"/>
      <c r="E30" s="8">
        <f>IF(C30="","",IFERROR(VLOOKUP(C30,Insumos!$A:$I,9,FALSE),IFERROR(VLOOKUP(C30,Preparos!$A:$D,4,FALSE),"")))</f>
      </c>
      <c r="F30" s="8">
        <f>IF(C30="","",IFERROR(VLOOKUP(C30,Insumos!$A:$G,7,FALSE),100))</f>
      </c>
      <c r="G30" s="9">
        <f>IF(C30="","",IFERROR(VLOOKUP(C30,Insumos!$A:$J,10,FALSE),IFERROR(VLOOKUP(C30,Preparos!$A:$F,6,FALSE),0)))</f>
      </c>
      <c r="H30" s="10">
        <f>IF(OR(D30="",G30="",F30=0),"",D30*G30*(100/F30))</f>
      </c>
      <c r="I30" s="5"/>
    </row>
    <row r="31" spans="1:9" x14ac:dyDescent="0.25">
      <c r="A31" s="7"/>
      <c r="B31" s="8">
        <f>IF(C31="","",IF(ISNUMBER(MATCH(C31,Insumos!$A:$A,0)),"insumo",IF(ISNUMBER(MATCH(C31,Preparos!$A:$A,0)),"preparo","")))</f>
      </c>
      <c r="C31" s="7"/>
      <c r="D31" s="7"/>
      <c r="E31" s="8">
        <f>IF(C31="","",IFERROR(VLOOKUP(C31,Insumos!$A:$I,9,FALSE),IFERROR(VLOOKUP(C31,Preparos!$A:$D,4,FALSE),"")))</f>
      </c>
      <c r="F31" s="8">
        <f>IF(C31="","",IFERROR(VLOOKUP(C31,Insumos!$A:$G,7,FALSE),100))</f>
      </c>
      <c r="G31" s="9">
        <f>IF(C31="","",IFERROR(VLOOKUP(C31,Insumos!$A:$J,10,FALSE),IFERROR(VLOOKUP(C31,Preparos!$A:$F,6,FALSE),0)))</f>
      </c>
      <c r="H31" s="10">
        <f>IF(OR(D31="",G31="",F31=0),"",D31*G31*(100/F31))</f>
      </c>
      <c r="I31" s="5"/>
    </row>
    <row r="32" spans="1:9" x14ac:dyDescent="0.25">
      <c r="A32" s="7"/>
      <c r="B32" s="8">
        <f>IF(C32="","",IF(ISNUMBER(MATCH(C32,Insumos!$A:$A,0)),"insumo",IF(ISNUMBER(MATCH(C32,Preparos!$A:$A,0)),"preparo","")))</f>
      </c>
      <c r="C32" s="7"/>
      <c r="D32" s="7"/>
      <c r="E32" s="8">
        <f>IF(C32="","",IFERROR(VLOOKUP(C32,Insumos!$A:$I,9,FALSE),IFERROR(VLOOKUP(C32,Preparos!$A:$D,4,FALSE),"")))</f>
      </c>
      <c r="F32" s="8">
        <f>IF(C32="","",IFERROR(VLOOKUP(C32,Insumos!$A:$G,7,FALSE),100))</f>
      </c>
      <c r="G32" s="9">
        <f>IF(C32="","",IFERROR(VLOOKUP(C32,Insumos!$A:$J,10,FALSE),IFERROR(VLOOKUP(C32,Preparos!$A:$F,6,FALSE),0)))</f>
      </c>
      <c r="H32" s="10">
        <f>IF(OR(D32="",G32="",F32=0),"",D32*G32*(100/F32))</f>
      </c>
      <c r="I32" s="5"/>
    </row>
    <row r="33" spans="1:9" x14ac:dyDescent="0.25">
      <c r="A33" s="7"/>
      <c r="B33" s="8">
        <f>IF(C33="","",IF(ISNUMBER(MATCH(C33,Insumos!$A:$A,0)),"insumo",IF(ISNUMBER(MATCH(C33,Preparos!$A:$A,0)),"preparo","")))</f>
      </c>
      <c r="C33" s="7"/>
      <c r="D33" s="7"/>
      <c r="E33" s="8">
        <f>IF(C33="","",IFERROR(VLOOKUP(C33,Insumos!$A:$I,9,FALSE),IFERROR(VLOOKUP(C33,Preparos!$A:$D,4,FALSE),"")))</f>
      </c>
      <c r="F33" s="8">
        <f>IF(C33="","",IFERROR(VLOOKUP(C33,Insumos!$A:$G,7,FALSE),100))</f>
      </c>
      <c r="G33" s="9">
        <f>IF(C33="","",IFERROR(VLOOKUP(C33,Insumos!$A:$J,10,FALSE),IFERROR(VLOOKUP(C33,Preparos!$A:$F,6,FALSE),0)))</f>
      </c>
      <c r="H33" s="10">
        <f>IF(OR(D33="",G33="",F33=0),"",D33*G33*(100/F33))</f>
      </c>
      <c r="I33" s="5"/>
    </row>
    <row r="34" spans="1:9" x14ac:dyDescent="0.25">
      <c r="A34" s="7"/>
      <c r="B34" s="8">
        <f>IF(C34="","",IF(ISNUMBER(MATCH(C34,Insumos!$A:$A,0)),"insumo",IF(ISNUMBER(MATCH(C34,Preparos!$A:$A,0)),"preparo","")))</f>
      </c>
      <c r="C34" s="7"/>
      <c r="D34" s="7"/>
      <c r="E34" s="8">
        <f>IF(C34="","",IFERROR(VLOOKUP(C34,Insumos!$A:$I,9,FALSE),IFERROR(VLOOKUP(C34,Preparos!$A:$D,4,FALSE),"")))</f>
      </c>
      <c r="F34" s="8">
        <f>IF(C34="","",IFERROR(VLOOKUP(C34,Insumos!$A:$G,7,FALSE),100))</f>
      </c>
      <c r="G34" s="9">
        <f>IF(C34="","",IFERROR(VLOOKUP(C34,Insumos!$A:$J,10,FALSE),IFERROR(VLOOKUP(C34,Preparos!$A:$F,6,FALSE),0)))</f>
      </c>
      <c r="H34" s="10">
        <f>IF(OR(D34="",G34="",F34=0),"",D34*G34*(100/F34))</f>
      </c>
      <c r="I34" s="5"/>
    </row>
    <row r="35" spans="1:9" x14ac:dyDescent="0.25">
      <c r="A35" s="7"/>
      <c r="B35" s="8">
        <f>IF(C35="","",IF(ISNUMBER(MATCH(C35,Insumos!$A:$A,0)),"insumo",IF(ISNUMBER(MATCH(C35,Preparos!$A:$A,0)),"preparo","")))</f>
      </c>
      <c r="C35" s="7"/>
      <c r="D35" s="7"/>
      <c r="E35" s="8">
        <f>IF(C35="","",IFERROR(VLOOKUP(C35,Insumos!$A:$I,9,FALSE),IFERROR(VLOOKUP(C35,Preparos!$A:$D,4,FALSE),"")))</f>
      </c>
      <c r="F35" s="8">
        <f>IF(C35="","",IFERROR(VLOOKUP(C35,Insumos!$A:$G,7,FALSE),100))</f>
      </c>
      <c r="G35" s="9">
        <f>IF(C35="","",IFERROR(VLOOKUP(C35,Insumos!$A:$J,10,FALSE),IFERROR(VLOOKUP(C35,Preparos!$A:$F,6,FALSE),0)))</f>
      </c>
      <c r="H35" s="10">
        <f>IF(OR(D35="",G35="",F35=0),"",D35*G35*(100/F35))</f>
      </c>
      <c r="I35" s="5"/>
    </row>
    <row r="36" spans="1:9" x14ac:dyDescent="0.25">
      <c r="A36" s="7"/>
      <c r="B36" s="8">
        <f>IF(C36="","",IF(ISNUMBER(MATCH(C36,Insumos!$A:$A,0)),"insumo",IF(ISNUMBER(MATCH(C36,Preparos!$A:$A,0)),"preparo","")))</f>
      </c>
      <c r="C36" s="7"/>
      <c r="D36" s="7"/>
      <c r="E36" s="8">
        <f>IF(C36="","",IFERROR(VLOOKUP(C36,Insumos!$A:$I,9,FALSE),IFERROR(VLOOKUP(C36,Preparos!$A:$D,4,FALSE),"")))</f>
      </c>
      <c r="F36" s="8">
        <f>IF(C36="","",IFERROR(VLOOKUP(C36,Insumos!$A:$G,7,FALSE),100))</f>
      </c>
      <c r="G36" s="9">
        <f>IF(C36="","",IFERROR(VLOOKUP(C36,Insumos!$A:$J,10,FALSE),IFERROR(VLOOKUP(C36,Preparos!$A:$F,6,FALSE),0)))</f>
      </c>
      <c r="H36" s="10">
        <f>IF(OR(D36="",G36="",F36=0),"",D36*G36*(100/F36))</f>
      </c>
      <c r="I36" s="5"/>
    </row>
    <row r="37" spans="1:9" x14ac:dyDescent="0.25">
      <c r="A37" s="7"/>
      <c r="B37" s="8">
        <f>IF(C37="","",IF(ISNUMBER(MATCH(C37,Insumos!$A:$A,0)),"insumo",IF(ISNUMBER(MATCH(C37,Preparos!$A:$A,0)),"preparo","")))</f>
      </c>
      <c r="C37" s="7"/>
      <c r="D37" s="7"/>
      <c r="E37" s="8">
        <f>IF(C37="","",IFERROR(VLOOKUP(C37,Insumos!$A:$I,9,FALSE),IFERROR(VLOOKUP(C37,Preparos!$A:$D,4,FALSE),"")))</f>
      </c>
      <c r="F37" s="8">
        <f>IF(C37="","",IFERROR(VLOOKUP(C37,Insumos!$A:$G,7,FALSE),100))</f>
      </c>
      <c r="G37" s="9">
        <f>IF(C37="","",IFERROR(VLOOKUP(C37,Insumos!$A:$J,10,FALSE),IFERROR(VLOOKUP(C37,Preparos!$A:$F,6,FALSE),0)))</f>
      </c>
      <c r="H37" s="10">
        <f>IF(OR(D37="",G37="",F37=0),"",D37*G37*(100/F37))</f>
      </c>
      <c r="I37" s="5"/>
    </row>
    <row r="38" spans="1:9" x14ac:dyDescent="0.25">
      <c r="A38" s="7"/>
      <c r="B38" s="8">
        <f>IF(C38="","",IF(ISNUMBER(MATCH(C38,Insumos!$A:$A,0)),"insumo",IF(ISNUMBER(MATCH(C38,Preparos!$A:$A,0)),"preparo","")))</f>
      </c>
      <c r="C38" s="7"/>
      <c r="D38" s="7"/>
      <c r="E38" s="8">
        <f>IF(C38="","",IFERROR(VLOOKUP(C38,Insumos!$A:$I,9,FALSE),IFERROR(VLOOKUP(C38,Preparos!$A:$D,4,FALSE),"")))</f>
      </c>
      <c r="F38" s="8">
        <f>IF(C38="","",IFERROR(VLOOKUP(C38,Insumos!$A:$G,7,FALSE),100))</f>
      </c>
      <c r="G38" s="9">
        <f>IF(C38="","",IFERROR(VLOOKUP(C38,Insumos!$A:$J,10,FALSE),IFERROR(VLOOKUP(C38,Preparos!$A:$F,6,FALSE),0)))</f>
      </c>
      <c r="H38" s="10">
        <f>IF(OR(D38="",G38="",F38=0),"",D38*G38*(100/F38))</f>
      </c>
      <c r="I38" s="5"/>
    </row>
    <row r="39" spans="1:9" x14ac:dyDescent="0.25">
      <c r="A39" s="7"/>
      <c r="B39" s="8">
        <f>IF(C39="","",IF(ISNUMBER(MATCH(C39,Insumos!$A:$A,0)),"insumo",IF(ISNUMBER(MATCH(C39,Preparos!$A:$A,0)),"preparo","")))</f>
      </c>
      <c r="C39" s="7"/>
      <c r="D39" s="7"/>
      <c r="E39" s="8">
        <f>IF(C39="","",IFERROR(VLOOKUP(C39,Insumos!$A:$I,9,FALSE),IFERROR(VLOOKUP(C39,Preparos!$A:$D,4,FALSE),"")))</f>
      </c>
      <c r="F39" s="8">
        <f>IF(C39="","",IFERROR(VLOOKUP(C39,Insumos!$A:$G,7,FALSE),100))</f>
      </c>
      <c r="G39" s="9">
        <f>IF(C39="","",IFERROR(VLOOKUP(C39,Insumos!$A:$J,10,FALSE),IFERROR(VLOOKUP(C39,Preparos!$A:$F,6,FALSE),0)))</f>
      </c>
      <c r="H39" s="10">
        <f>IF(OR(D39="",G39="",F39=0),"",D39*G39*(100/F39))</f>
      </c>
      <c r="I39" s="5"/>
    </row>
    <row r="40" spans="1:9" x14ac:dyDescent="0.25">
      <c r="A40" s="7"/>
      <c r="B40" s="8">
        <f>IF(C40="","",IF(ISNUMBER(MATCH(C40,Insumos!$A:$A,0)),"insumo",IF(ISNUMBER(MATCH(C40,Preparos!$A:$A,0)),"preparo","")))</f>
      </c>
      <c r="C40" s="7"/>
      <c r="D40" s="7"/>
      <c r="E40" s="8">
        <f>IF(C40="","",IFERROR(VLOOKUP(C40,Insumos!$A:$I,9,FALSE),IFERROR(VLOOKUP(C40,Preparos!$A:$D,4,FALSE),"")))</f>
      </c>
      <c r="F40" s="8">
        <f>IF(C40="","",IFERROR(VLOOKUP(C40,Insumos!$A:$G,7,FALSE),100))</f>
      </c>
      <c r="G40" s="9">
        <f>IF(C40="","",IFERROR(VLOOKUP(C40,Insumos!$A:$J,10,FALSE),IFERROR(VLOOKUP(C40,Preparos!$A:$F,6,FALSE),0)))</f>
      </c>
      <c r="H40" s="10">
        <f>IF(OR(D40="",G40="",F40=0),"",D40*G40*(100/F40))</f>
      </c>
      <c r="I40" s="5"/>
    </row>
    <row r="41" spans="1:9" x14ac:dyDescent="0.25">
      <c r="A41" s="7"/>
      <c r="B41" s="8">
        <f>IF(C41="","",IF(ISNUMBER(MATCH(C41,Insumos!$A:$A,0)),"insumo",IF(ISNUMBER(MATCH(C41,Preparos!$A:$A,0)),"preparo","")))</f>
      </c>
      <c r="C41" s="7"/>
      <c r="D41" s="7"/>
      <c r="E41" s="8">
        <f>IF(C41="","",IFERROR(VLOOKUP(C41,Insumos!$A:$I,9,FALSE),IFERROR(VLOOKUP(C41,Preparos!$A:$D,4,FALSE),"")))</f>
      </c>
      <c r="F41" s="8">
        <f>IF(C41="","",IFERROR(VLOOKUP(C41,Insumos!$A:$G,7,FALSE),100))</f>
      </c>
      <c r="G41" s="9">
        <f>IF(C41="","",IFERROR(VLOOKUP(C41,Insumos!$A:$J,10,FALSE),IFERROR(VLOOKUP(C41,Preparos!$A:$F,6,FALSE),0)))</f>
      </c>
      <c r="H41" s="10">
        <f>IF(OR(D41="",G41="",F41=0),"",D41*G41*(100/F41))</f>
      </c>
      <c r="I41" s="5"/>
    </row>
    <row r="42" spans="1:9" x14ac:dyDescent="0.25">
      <c r="A42" s="7"/>
      <c r="B42" s="8">
        <f>IF(C42="","",IF(ISNUMBER(MATCH(C42,Insumos!$A:$A,0)),"insumo",IF(ISNUMBER(MATCH(C42,Preparos!$A:$A,0)),"preparo","")))</f>
      </c>
      <c r="C42" s="7"/>
      <c r="D42" s="7"/>
      <c r="E42" s="8">
        <f>IF(C42="","",IFERROR(VLOOKUP(C42,Insumos!$A:$I,9,FALSE),IFERROR(VLOOKUP(C42,Preparos!$A:$D,4,FALSE),"")))</f>
      </c>
      <c r="F42" s="8">
        <f>IF(C42="","",IFERROR(VLOOKUP(C42,Insumos!$A:$G,7,FALSE),100))</f>
      </c>
      <c r="G42" s="9">
        <f>IF(C42="","",IFERROR(VLOOKUP(C42,Insumos!$A:$J,10,FALSE),IFERROR(VLOOKUP(C42,Preparos!$A:$F,6,FALSE),0)))</f>
      </c>
      <c r="H42" s="10">
        <f>IF(OR(D42="",G42="",F42=0),"",D42*G42*(100/F42))</f>
      </c>
      <c r="I42" s="5"/>
    </row>
    <row r="43" spans="1:9" x14ac:dyDescent="0.25">
      <c r="A43" s="7"/>
      <c r="B43" s="8">
        <f>IF(C43="","",IF(ISNUMBER(MATCH(C43,Insumos!$A:$A,0)),"insumo",IF(ISNUMBER(MATCH(C43,Preparos!$A:$A,0)),"preparo","")))</f>
      </c>
      <c r="C43" s="7"/>
      <c r="D43" s="7"/>
      <c r="E43" s="8">
        <f>IF(C43="","",IFERROR(VLOOKUP(C43,Insumos!$A:$I,9,FALSE),IFERROR(VLOOKUP(C43,Preparos!$A:$D,4,FALSE),"")))</f>
      </c>
      <c r="F43" s="8">
        <f>IF(C43="","",IFERROR(VLOOKUP(C43,Insumos!$A:$G,7,FALSE),100))</f>
      </c>
      <c r="G43" s="9">
        <f>IF(C43="","",IFERROR(VLOOKUP(C43,Insumos!$A:$J,10,FALSE),IFERROR(VLOOKUP(C43,Preparos!$A:$F,6,FALSE),0)))</f>
      </c>
      <c r="H43" s="10">
        <f>IF(OR(D43="",G43="",F43=0),"",D43*G43*(100/F43))</f>
      </c>
      <c r="I43" s="5"/>
    </row>
    <row r="44" spans="1:9" x14ac:dyDescent="0.25">
      <c r="A44" s="7"/>
      <c r="B44" s="8">
        <f>IF(C44="","",IF(ISNUMBER(MATCH(C44,Insumos!$A:$A,0)),"insumo",IF(ISNUMBER(MATCH(C44,Preparos!$A:$A,0)),"preparo","")))</f>
      </c>
      <c r="C44" s="7"/>
      <c r="D44" s="7"/>
      <c r="E44" s="8">
        <f>IF(C44="","",IFERROR(VLOOKUP(C44,Insumos!$A:$I,9,FALSE),IFERROR(VLOOKUP(C44,Preparos!$A:$D,4,FALSE),"")))</f>
      </c>
      <c r="F44" s="8">
        <f>IF(C44="","",IFERROR(VLOOKUP(C44,Insumos!$A:$G,7,FALSE),100))</f>
      </c>
      <c r="G44" s="9">
        <f>IF(C44="","",IFERROR(VLOOKUP(C44,Insumos!$A:$J,10,FALSE),IFERROR(VLOOKUP(C44,Preparos!$A:$F,6,FALSE),0)))</f>
      </c>
      <c r="H44" s="10">
        <f>IF(OR(D44="",G44="",F44=0),"",D44*G44*(100/F44))</f>
      </c>
      <c r="I44" s="5"/>
    </row>
    <row r="45" spans="1:9" x14ac:dyDescent="0.25">
      <c r="A45" s="7"/>
      <c r="B45" s="8">
        <f>IF(C45="","",IF(ISNUMBER(MATCH(C45,Insumos!$A:$A,0)),"insumo",IF(ISNUMBER(MATCH(C45,Preparos!$A:$A,0)),"preparo","")))</f>
      </c>
      <c r="C45" s="7"/>
      <c r="D45" s="7"/>
      <c r="E45" s="8">
        <f>IF(C45="","",IFERROR(VLOOKUP(C45,Insumos!$A:$I,9,FALSE),IFERROR(VLOOKUP(C45,Preparos!$A:$D,4,FALSE),"")))</f>
      </c>
      <c r="F45" s="8">
        <f>IF(C45="","",IFERROR(VLOOKUP(C45,Insumos!$A:$G,7,FALSE),100))</f>
      </c>
      <c r="G45" s="9">
        <f>IF(C45="","",IFERROR(VLOOKUP(C45,Insumos!$A:$J,10,FALSE),IFERROR(VLOOKUP(C45,Preparos!$A:$F,6,FALSE),0)))</f>
      </c>
      <c r="H45" s="10">
        <f>IF(OR(D45="",G45="",F45=0),"",D45*G45*(100/F45))</f>
      </c>
      <c r="I45" s="5"/>
    </row>
    <row r="46" spans="1:9" x14ac:dyDescent="0.25">
      <c r="A46" s="7"/>
      <c r="B46" s="8">
        <f>IF(C46="","",IF(ISNUMBER(MATCH(C46,Insumos!$A:$A,0)),"insumo",IF(ISNUMBER(MATCH(C46,Preparos!$A:$A,0)),"preparo","")))</f>
      </c>
      <c r="C46" s="7"/>
      <c r="D46" s="7"/>
      <c r="E46" s="8">
        <f>IF(C46="","",IFERROR(VLOOKUP(C46,Insumos!$A:$I,9,FALSE),IFERROR(VLOOKUP(C46,Preparos!$A:$D,4,FALSE),"")))</f>
      </c>
      <c r="F46" s="8">
        <f>IF(C46="","",IFERROR(VLOOKUP(C46,Insumos!$A:$G,7,FALSE),100))</f>
      </c>
      <c r="G46" s="9">
        <f>IF(C46="","",IFERROR(VLOOKUP(C46,Insumos!$A:$J,10,FALSE),IFERROR(VLOOKUP(C46,Preparos!$A:$F,6,FALSE),0)))</f>
      </c>
      <c r="H46" s="10">
        <f>IF(OR(D46="",G46="",F46=0),"",D46*G46*(100/F46))</f>
      </c>
      <c r="I46" s="5"/>
    </row>
    <row r="47" spans="1:9" x14ac:dyDescent="0.25">
      <c r="A47" s="7"/>
      <c r="B47" s="8">
        <f>IF(C47="","",IF(ISNUMBER(MATCH(C47,Insumos!$A:$A,0)),"insumo",IF(ISNUMBER(MATCH(C47,Preparos!$A:$A,0)),"preparo","")))</f>
      </c>
      <c r="C47" s="7"/>
      <c r="D47" s="7"/>
      <c r="E47" s="8">
        <f>IF(C47="","",IFERROR(VLOOKUP(C47,Insumos!$A:$I,9,FALSE),IFERROR(VLOOKUP(C47,Preparos!$A:$D,4,FALSE),"")))</f>
      </c>
      <c r="F47" s="8">
        <f>IF(C47="","",IFERROR(VLOOKUP(C47,Insumos!$A:$G,7,FALSE),100))</f>
      </c>
      <c r="G47" s="9">
        <f>IF(C47="","",IFERROR(VLOOKUP(C47,Insumos!$A:$J,10,FALSE),IFERROR(VLOOKUP(C47,Preparos!$A:$F,6,FALSE),0)))</f>
      </c>
      <c r="H47" s="10">
        <f>IF(OR(D47="",G47="",F47=0),"",D47*G47*(100/F47))</f>
      </c>
      <c r="I47" s="5"/>
    </row>
    <row r="48" spans="1:9" x14ac:dyDescent="0.25">
      <c r="A48" s="7"/>
      <c r="B48" s="8">
        <f>IF(C48="","",IF(ISNUMBER(MATCH(C48,Insumos!$A:$A,0)),"insumo",IF(ISNUMBER(MATCH(C48,Preparos!$A:$A,0)),"preparo","")))</f>
      </c>
      <c r="C48" s="7"/>
      <c r="D48" s="7"/>
      <c r="E48" s="8">
        <f>IF(C48="","",IFERROR(VLOOKUP(C48,Insumos!$A:$I,9,FALSE),IFERROR(VLOOKUP(C48,Preparos!$A:$D,4,FALSE),"")))</f>
      </c>
      <c r="F48" s="8">
        <f>IF(C48="","",IFERROR(VLOOKUP(C48,Insumos!$A:$G,7,FALSE),100))</f>
      </c>
      <c r="G48" s="9">
        <f>IF(C48="","",IFERROR(VLOOKUP(C48,Insumos!$A:$J,10,FALSE),IFERROR(VLOOKUP(C48,Preparos!$A:$F,6,FALSE),0)))</f>
      </c>
      <c r="H48" s="10">
        <f>IF(OR(D48="",G48="",F48=0),"",D48*G48*(100/F48))</f>
      </c>
      <c r="I48" s="5"/>
    </row>
    <row r="49" spans="1:9" x14ac:dyDescent="0.25">
      <c r="A49" s="7"/>
      <c r="B49" s="8">
        <f>IF(C49="","",IF(ISNUMBER(MATCH(C49,Insumos!$A:$A,0)),"insumo",IF(ISNUMBER(MATCH(C49,Preparos!$A:$A,0)),"preparo","")))</f>
      </c>
      <c r="C49" s="7"/>
      <c r="D49" s="7"/>
      <c r="E49" s="8">
        <f>IF(C49="","",IFERROR(VLOOKUP(C49,Insumos!$A:$I,9,FALSE),IFERROR(VLOOKUP(C49,Preparos!$A:$D,4,FALSE),"")))</f>
      </c>
      <c r="F49" s="8">
        <f>IF(C49="","",IFERROR(VLOOKUP(C49,Insumos!$A:$G,7,FALSE),100))</f>
      </c>
      <c r="G49" s="9">
        <f>IF(C49="","",IFERROR(VLOOKUP(C49,Insumos!$A:$J,10,FALSE),IFERROR(VLOOKUP(C49,Preparos!$A:$F,6,FALSE),0)))</f>
      </c>
      <c r="H49" s="10">
        <f>IF(OR(D49="",G49="",F49=0),"",D49*G49*(100/F49))</f>
      </c>
      <c r="I49" s="5"/>
    </row>
    <row r="50" spans="1:9" x14ac:dyDescent="0.25">
      <c r="A50" s="7"/>
      <c r="B50" s="8">
        <f>IF(C50="","",IF(ISNUMBER(MATCH(C50,Insumos!$A:$A,0)),"insumo",IF(ISNUMBER(MATCH(C50,Preparos!$A:$A,0)),"preparo","")))</f>
      </c>
      <c r="C50" s="7"/>
      <c r="D50" s="7"/>
      <c r="E50" s="8">
        <f>IF(C50="","",IFERROR(VLOOKUP(C50,Insumos!$A:$I,9,FALSE),IFERROR(VLOOKUP(C50,Preparos!$A:$D,4,FALSE),"")))</f>
      </c>
      <c r="F50" s="8">
        <f>IF(C50="","",IFERROR(VLOOKUP(C50,Insumos!$A:$G,7,FALSE),100))</f>
      </c>
      <c r="G50" s="9">
        <f>IF(C50="","",IFERROR(VLOOKUP(C50,Insumos!$A:$J,10,FALSE),IFERROR(VLOOKUP(C50,Preparos!$A:$F,6,FALSE),0)))</f>
      </c>
      <c r="H50" s="10">
        <f>IF(OR(D50="",G50="",F50=0),"",D50*G50*(100/F50))</f>
      </c>
      <c r="I50" s="5"/>
    </row>
    <row r="51" spans="1:9" x14ac:dyDescent="0.25">
      <c r="A51" s="7"/>
      <c r="B51" s="8">
        <f>IF(C51="","",IF(ISNUMBER(MATCH(C51,Insumos!$A:$A,0)),"insumo",IF(ISNUMBER(MATCH(C51,Preparos!$A:$A,0)),"preparo","")))</f>
      </c>
      <c r="C51" s="7"/>
      <c r="D51" s="7"/>
      <c r="E51" s="8">
        <f>IF(C51="","",IFERROR(VLOOKUP(C51,Insumos!$A:$I,9,FALSE),IFERROR(VLOOKUP(C51,Preparos!$A:$D,4,FALSE),"")))</f>
      </c>
      <c r="F51" s="8">
        <f>IF(C51="","",IFERROR(VLOOKUP(C51,Insumos!$A:$G,7,FALSE),100))</f>
      </c>
      <c r="G51" s="9">
        <f>IF(C51="","",IFERROR(VLOOKUP(C51,Insumos!$A:$J,10,FALSE),IFERROR(VLOOKUP(C51,Preparos!$A:$F,6,FALSE),0)))</f>
      </c>
      <c r="H51" s="10">
        <f>IF(OR(D51="",G51="",F51=0),"",D51*G51*(100/F51))</f>
      </c>
      <c r="I51" s="5"/>
    </row>
    <row r="52" spans="1:9" x14ac:dyDescent="0.25">
      <c r="A52" s="7"/>
      <c r="B52" s="8">
        <f>IF(C52="","",IF(ISNUMBER(MATCH(C52,Insumos!$A:$A,0)),"insumo",IF(ISNUMBER(MATCH(C52,Preparos!$A:$A,0)),"preparo","")))</f>
      </c>
      <c r="C52" s="7"/>
      <c r="D52" s="7"/>
      <c r="E52" s="8">
        <f>IF(C52="","",IFERROR(VLOOKUP(C52,Insumos!$A:$I,9,FALSE),IFERROR(VLOOKUP(C52,Preparos!$A:$D,4,FALSE),"")))</f>
      </c>
      <c r="F52" s="8">
        <f>IF(C52="","",IFERROR(VLOOKUP(C52,Insumos!$A:$G,7,FALSE),100))</f>
      </c>
      <c r="G52" s="9">
        <f>IF(C52="","",IFERROR(VLOOKUP(C52,Insumos!$A:$J,10,FALSE),IFERROR(VLOOKUP(C52,Preparos!$A:$F,6,FALSE),0)))</f>
      </c>
      <c r="H52" s="10">
        <f>IF(OR(D52="",G52="",F52=0),"",D52*G52*(100/F52))</f>
      </c>
      <c r="I52" s="5"/>
    </row>
    <row r="53" spans="1:9" x14ac:dyDescent="0.25">
      <c r="A53" s="7"/>
      <c r="B53" s="8">
        <f>IF(C53="","",IF(ISNUMBER(MATCH(C53,Insumos!$A:$A,0)),"insumo",IF(ISNUMBER(MATCH(C53,Preparos!$A:$A,0)),"preparo","")))</f>
      </c>
      <c r="C53" s="7"/>
      <c r="D53" s="7"/>
      <c r="E53" s="8">
        <f>IF(C53="","",IFERROR(VLOOKUP(C53,Insumos!$A:$I,9,FALSE),IFERROR(VLOOKUP(C53,Preparos!$A:$D,4,FALSE),"")))</f>
      </c>
      <c r="F53" s="8">
        <f>IF(C53="","",IFERROR(VLOOKUP(C53,Insumos!$A:$G,7,FALSE),100))</f>
      </c>
      <c r="G53" s="9">
        <f>IF(C53="","",IFERROR(VLOOKUP(C53,Insumos!$A:$J,10,FALSE),IFERROR(VLOOKUP(C53,Preparos!$A:$F,6,FALSE),0)))</f>
      </c>
      <c r="H53" s="10">
        <f>IF(OR(D53="",G53="",F53=0),"",D53*G53*(100/F53))</f>
      </c>
      <c r="I53" s="5"/>
    </row>
    <row r="54" spans="1:9" x14ac:dyDescent="0.25">
      <c r="A54" s="7"/>
      <c r="B54" s="8">
        <f>IF(C54="","",IF(ISNUMBER(MATCH(C54,Insumos!$A:$A,0)),"insumo",IF(ISNUMBER(MATCH(C54,Preparos!$A:$A,0)),"preparo","")))</f>
      </c>
      <c r="C54" s="7"/>
      <c r="D54" s="7"/>
      <c r="E54" s="8">
        <f>IF(C54="","",IFERROR(VLOOKUP(C54,Insumos!$A:$I,9,FALSE),IFERROR(VLOOKUP(C54,Preparos!$A:$D,4,FALSE),"")))</f>
      </c>
      <c r="F54" s="8">
        <f>IF(C54="","",IFERROR(VLOOKUP(C54,Insumos!$A:$G,7,FALSE),100))</f>
      </c>
      <c r="G54" s="9">
        <f>IF(C54="","",IFERROR(VLOOKUP(C54,Insumos!$A:$J,10,FALSE),IFERROR(VLOOKUP(C54,Preparos!$A:$F,6,FALSE),0)))</f>
      </c>
      <c r="H54" s="10">
        <f>IF(OR(D54="",G54="",F54=0),"",D54*G54*(100/F54))</f>
      </c>
      <c r="I54" s="5"/>
    </row>
    <row r="55" spans="1:9" x14ac:dyDescent="0.25">
      <c r="A55" s="7"/>
      <c r="B55" s="8">
        <f>IF(C55="","",IF(ISNUMBER(MATCH(C55,Insumos!$A:$A,0)),"insumo",IF(ISNUMBER(MATCH(C55,Preparos!$A:$A,0)),"preparo","")))</f>
      </c>
      <c r="C55" s="7"/>
      <c r="D55" s="7"/>
      <c r="E55" s="8">
        <f>IF(C55="","",IFERROR(VLOOKUP(C55,Insumos!$A:$I,9,FALSE),IFERROR(VLOOKUP(C55,Preparos!$A:$D,4,FALSE),"")))</f>
      </c>
      <c r="F55" s="8">
        <f>IF(C55="","",IFERROR(VLOOKUP(C55,Insumos!$A:$G,7,FALSE),100))</f>
      </c>
      <c r="G55" s="9">
        <f>IF(C55="","",IFERROR(VLOOKUP(C55,Insumos!$A:$J,10,FALSE),IFERROR(VLOOKUP(C55,Preparos!$A:$F,6,FALSE),0)))</f>
      </c>
      <c r="H55" s="10">
        <f>IF(OR(D55="",G55="",F55=0),"",D55*G55*(100/F55))</f>
      </c>
      <c r="I55" s="5"/>
    </row>
    <row r="56" spans="1:9" x14ac:dyDescent="0.25">
      <c r="A56" s="7"/>
      <c r="B56" s="8">
        <f>IF(C56="","",IF(ISNUMBER(MATCH(C56,Insumos!$A:$A,0)),"insumo",IF(ISNUMBER(MATCH(C56,Preparos!$A:$A,0)),"preparo","")))</f>
      </c>
      <c r="C56" s="7"/>
      <c r="D56" s="7"/>
      <c r="E56" s="8">
        <f>IF(C56="","",IFERROR(VLOOKUP(C56,Insumos!$A:$I,9,FALSE),IFERROR(VLOOKUP(C56,Preparos!$A:$D,4,FALSE),"")))</f>
      </c>
      <c r="F56" s="8">
        <f>IF(C56="","",IFERROR(VLOOKUP(C56,Insumos!$A:$G,7,FALSE),100))</f>
      </c>
      <c r="G56" s="9">
        <f>IF(C56="","",IFERROR(VLOOKUP(C56,Insumos!$A:$J,10,FALSE),IFERROR(VLOOKUP(C56,Preparos!$A:$F,6,FALSE),0)))</f>
      </c>
      <c r="H56" s="10">
        <f>IF(OR(D56="",G56="",F56=0),"",D56*G56*(100/F56))</f>
      </c>
      <c r="I56" s="5"/>
    </row>
    <row r="57" spans="1:9" x14ac:dyDescent="0.25">
      <c r="A57" s="7"/>
      <c r="B57" s="8">
        <f>IF(C57="","",IF(ISNUMBER(MATCH(C57,Insumos!$A:$A,0)),"insumo",IF(ISNUMBER(MATCH(C57,Preparos!$A:$A,0)),"preparo","")))</f>
      </c>
      <c r="C57" s="7"/>
      <c r="D57" s="7"/>
      <c r="E57" s="8">
        <f>IF(C57="","",IFERROR(VLOOKUP(C57,Insumos!$A:$I,9,FALSE),IFERROR(VLOOKUP(C57,Preparos!$A:$D,4,FALSE),"")))</f>
      </c>
      <c r="F57" s="8">
        <f>IF(C57="","",IFERROR(VLOOKUP(C57,Insumos!$A:$G,7,FALSE),100))</f>
      </c>
      <c r="G57" s="9">
        <f>IF(C57="","",IFERROR(VLOOKUP(C57,Insumos!$A:$J,10,FALSE),IFERROR(VLOOKUP(C57,Preparos!$A:$F,6,FALSE),0)))</f>
      </c>
      <c r="H57" s="10">
        <f>IF(OR(D57="",G57="",F57=0),"",D57*G57*(100/F57))</f>
      </c>
      <c r="I57" s="5"/>
    </row>
    <row r="58" spans="1:9" x14ac:dyDescent="0.25">
      <c r="A58" s="7"/>
      <c r="B58" s="8">
        <f>IF(C58="","",IF(ISNUMBER(MATCH(C58,Insumos!$A:$A,0)),"insumo",IF(ISNUMBER(MATCH(C58,Preparos!$A:$A,0)),"preparo","")))</f>
      </c>
      <c r="C58" s="7"/>
      <c r="D58" s="7"/>
      <c r="E58" s="8">
        <f>IF(C58="","",IFERROR(VLOOKUP(C58,Insumos!$A:$I,9,FALSE),IFERROR(VLOOKUP(C58,Preparos!$A:$D,4,FALSE),"")))</f>
      </c>
      <c r="F58" s="8">
        <f>IF(C58="","",IFERROR(VLOOKUP(C58,Insumos!$A:$G,7,FALSE),100))</f>
      </c>
      <c r="G58" s="9">
        <f>IF(C58="","",IFERROR(VLOOKUP(C58,Insumos!$A:$J,10,FALSE),IFERROR(VLOOKUP(C58,Preparos!$A:$F,6,FALSE),0)))</f>
      </c>
      <c r="H58" s="10">
        <f>IF(OR(D58="",G58="",F58=0),"",D58*G58*(100/F58))</f>
      </c>
      <c r="I58" s="5"/>
    </row>
    <row r="59" spans="1:9" x14ac:dyDescent="0.25">
      <c r="A59" s="7"/>
      <c r="B59" s="8">
        <f>IF(C59="","",IF(ISNUMBER(MATCH(C59,Insumos!$A:$A,0)),"insumo",IF(ISNUMBER(MATCH(C59,Preparos!$A:$A,0)),"preparo","")))</f>
      </c>
      <c r="C59" s="7"/>
      <c r="D59" s="7"/>
      <c r="E59" s="8">
        <f>IF(C59="","",IFERROR(VLOOKUP(C59,Insumos!$A:$I,9,FALSE),IFERROR(VLOOKUP(C59,Preparos!$A:$D,4,FALSE),"")))</f>
      </c>
      <c r="F59" s="8">
        <f>IF(C59="","",IFERROR(VLOOKUP(C59,Insumos!$A:$G,7,FALSE),100))</f>
      </c>
      <c r="G59" s="9">
        <f>IF(C59="","",IFERROR(VLOOKUP(C59,Insumos!$A:$J,10,FALSE),IFERROR(VLOOKUP(C59,Preparos!$A:$F,6,FALSE),0)))</f>
      </c>
      <c r="H59" s="10">
        <f>IF(OR(D59="",G59="",F59=0),"",D59*G59*(100/F59))</f>
      </c>
      <c r="I59" s="5"/>
    </row>
    <row r="60" spans="1:9" x14ac:dyDescent="0.25">
      <c r="A60" s="7"/>
      <c r="B60" s="8">
        <f>IF(C60="","",IF(ISNUMBER(MATCH(C60,Insumos!$A:$A,0)),"insumo",IF(ISNUMBER(MATCH(C60,Preparos!$A:$A,0)),"preparo","")))</f>
      </c>
      <c r="C60" s="7"/>
      <c r="D60" s="7"/>
      <c r="E60" s="8">
        <f>IF(C60="","",IFERROR(VLOOKUP(C60,Insumos!$A:$I,9,FALSE),IFERROR(VLOOKUP(C60,Preparos!$A:$D,4,FALSE),"")))</f>
      </c>
      <c r="F60" s="8">
        <f>IF(C60="","",IFERROR(VLOOKUP(C60,Insumos!$A:$G,7,FALSE),100))</f>
      </c>
      <c r="G60" s="9">
        <f>IF(C60="","",IFERROR(VLOOKUP(C60,Insumos!$A:$J,10,FALSE),IFERROR(VLOOKUP(C60,Preparos!$A:$F,6,FALSE),0)))</f>
      </c>
      <c r="H60" s="10">
        <f>IF(OR(D60="",G60="",F60=0),"",D60*G60*(100/F60))</f>
      </c>
      <c r="I60" s="5"/>
    </row>
    <row r="61" spans="1:9" x14ac:dyDescent="0.25">
      <c r="A61" s="7"/>
      <c r="B61" s="8">
        <f>IF(C61="","",IF(ISNUMBER(MATCH(C61,Insumos!$A:$A,0)),"insumo",IF(ISNUMBER(MATCH(C61,Preparos!$A:$A,0)),"preparo","")))</f>
      </c>
      <c r="C61" s="7"/>
      <c r="D61" s="7"/>
      <c r="E61" s="8">
        <f>IF(C61="","",IFERROR(VLOOKUP(C61,Insumos!$A:$I,9,FALSE),IFERROR(VLOOKUP(C61,Preparos!$A:$D,4,FALSE),"")))</f>
      </c>
      <c r="F61" s="8">
        <f>IF(C61="","",IFERROR(VLOOKUP(C61,Insumos!$A:$G,7,FALSE),100))</f>
      </c>
      <c r="G61" s="9">
        <f>IF(C61="","",IFERROR(VLOOKUP(C61,Insumos!$A:$J,10,FALSE),IFERROR(VLOOKUP(C61,Preparos!$A:$F,6,FALSE),0)))</f>
      </c>
      <c r="H61" s="10">
        <f>IF(OR(D61="",G61="",F61=0),"",D61*G61*(100/F61))</f>
      </c>
      <c r="I61" s="5"/>
    </row>
    <row r="62" spans="1:9" x14ac:dyDescent="0.25">
      <c r="A62" s="7"/>
      <c r="B62" s="8">
        <f>IF(C62="","",IF(ISNUMBER(MATCH(C62,Insumos!$A:$A,0)),"insumo",IF(ISNUMBER(MATCH(C62,Preparos!$A:$A,0)),"preparo","")))</f>
      </c>
      <c r="C62" s="7"/>
      <c r="D62" s="7"/>
      <c r="E62" s="8">
        <f>IF(C62="","",IFERROR(VLOOKUP(C62,Insumos!$A:$I,9,FALSE),IFERROR(VLOOKUP(C62,Preparos!$A:$D,4,FALSE),"")))</f>
      </c>
      <c r="F62" s="8">
        <f>IF(C62="","",IFERROR(VLOOKUP(C62,Insumos!$A:$G,7,FALSE),100))</f>
      </c>
      <c r="G62" s="9">
        <f>IF(C62="","",IFERROR(VLOOKUP(C62,Insumos!$A:$J,10,FALSE),IFERROR(VLOOKUP(C62,Preparos!$A:$F,6,FALSE),0)))</f>
      </c>
      <c r="H62" s="10">
        <f>IF(OR(D62="",G62="",F62=0),"",D62*G62*(100/F62))</f>
      </c>
      <c r="I62" s="5"/>
    </row>
    <row r="63" spans="1:9" x14ac:dyDescent="0.25">
      <c r="A63" s="7"/>
      <c r="B63" s="8">
        <f>IF(C63="","",IF(ISNUMBER(MATCH(C63,Insumos!$A:$A,0)),"insumo",IF(ISNUMBER(MATCH(C63,Preparos!$A:$A,0)),"preparo","")))</f>
      </c>
      <c r="C63" s="7"/>
      <c r="D63" s="7"/>
      <c r="E63" s="8">
        <f>IF(C63="","",IFERROR(VLOOKUP(C63,Insumos!$A:$I,9,FALSE),IFERROR(VLOOKUP(C63,Preparos!$A:$D,4,FALSE),"")))</f>
      </c>
      <c r="F63" s="8">
        <f>IF(C63="","",IFERROR(VLOOKUP(C63,Insumos!$A:$G,7,FALSE),100))</f>
      </c>
      <c r="G63" s="9">
        <f>IF(C63="","",IFERROR(VLOOKUP(C63,Insumos!$A:$J,10,FALSE),IFERROR(VLOOKUP(C63,Preparos!$A:$F,6,FALSE),0)))</f>
      </c>
      <c r="H63" s="10">
        <f>IF(OR(D63="",G63="",F63=0),"",D63*G63*(100/F63))</f>
      </c>
      <c r="I63" s="5"/>
    </row>
    <row r="64" spans="1:9" x14ac:dyDescent="0.25">
      <c r="A64" s="7"/>
      <c r="B64" s="8">
        <f>IF(C64="","",IF(ISNUMBER(MATCH(C64,Insumos!$A:$A,0)),"insumo",IF(ISNUMBER(MATCH(C64,Preparos!$A:$A,0)),"preparo","")))</f>
      </c>
      <c r="C64" s="7"/>
      <c r="D64" s="7"/>
      <c r="E64" s="8">
        <f>IF(C64="","",IFERROR(VLOOKUP(C64,Insumos!$A:$I,9,FALSE),IFERROR(VLOOKUP(C64,Preparos!$A:$D,4,FALSE),"")))</f>
      </c>
      <c r="F64" s="8">
        <f>IF(C64="","",IFERROR(VLOOKUP(C64,Insumos!$A:$G,7,FALSE),100))</f>
      </c>
      <c r="G64" s="9">
        <f>IF(C64="","",IFERROR(VLOOKUP(C64,Insumos!$A:$J,10,FALSE),IFERROR(VLOOKUP(C64,Preparos!$A:$F,6,FALSE),0)))</f>
      </c>
      <c r="H64" s="10">
        <f>IF(OR(D64="",G64="",F64=0),"",D64*G64*(100/F64))</f>
      </c>
      <c r="I64" s="5"/>
    </row>
    <row r="65" spans="1:9" x14ac:dyDescent="0.25">
      <c r="A65" s="7"/>
      <c r="B65" s="8">
        <f>IF(C65="","",IF(ISNUMBER(MATCH(C65,Insumos!$A:$A,0)),"insumo",IF(ISNUMBER(MATCH(C65,Preparos!$A:$A,0)),"preparo","")))</f>
      </c>
      <c r="C65" s="7"/>
      <c r="D65" s="7"/>
      <c r="E65" s="8">
        <f>IF(C65="","",IFERROR(VLOOKUP(C65,Insumos!$A:$I,9,FALSE),IFERROR(VLOOKUP(C65,Preparos!$A:$D,4,FALSE),"")))</f>
      </c>
      <c r="F65" s="8">
        <f>IF(C65="","",IFERROR(VLOOKUP(C65,Insumos!$A:$G,7,FALSE),100))</f>
      </c>
      <c r="G65" s="9">
        <f>IF(C65="","",IFERROR(VLOOKUP(C65,Insumos!$A:$J,10,FALSE),IFERROR(VLOOKUP(C65,Preparos!$A:$F,6,FALSE),0)))</f>
      </c>
      <c r="H65" s="10">
        <f>IF(OR(D65="",G65="",F65=0),"",D65*G65*(100/F65))</f>
      </c>
      <c r="I65" s="5"/>
    </row>
    <row r="66" spans="1:9" x14ac:dyDescent="0.25">
      <c r="A66" s="7"/>
      <c r="B66" s="8">
        <f>IF(C66="","",IF(ISNUMBER(MATCH(C66,Insumos!$A:$A,0)),"insumo",IF(ISNUMBER(MATCH(C66,Preparos!$A:$A,0)),"preparo","")))</f>
      </c>
      <c r="C66" s="7"/>
      <c r="D66" s="7"/>
      <c r="E66" s="8">
        <f>IF(C66="","",IFERROR(VLOOKUP(C66,Insumos!$A:$I,9,FALSE),IFERROR(VLOOKUP(C66,Preparos!$A:$D,4,FALSE),"")))</f>
      </c>
      <c r="F66" s="8">
        <f>IF(C66="","",IFERROR(VLOOKUP(C66,Insumos!$A:$G,7,FALSE),100))</f>
      </c>
      <c r="G66" s="9">
        <f>IF(C66="","",IFERROR(VLOOKUP(C66,Insumos!$A:$J,10,FALSE),IFERROR(VLOOKUP(C66,Preparos!$A:$F,6,FALSE),0)))</f>
      </c>
      <c r="H66" s="10">
        <f>IF(OR(D66="",G66="",F66=0),"",D66*G66*(100/F66))</f>
      </c>
      <c r="I66" s="5"/>
    </row>
    <row r="67" spans="1:9" x14ac:dyDescent="0.25">
      <c r="A67" s="7"/>
      <c r="B67" s="8">
        <f>IF(C67="","",IF(ISNUMBER(MATCH(C67,Insumos!$A:$A,0)),"insumo",IF(ISNUMBER(MATCH(C67,Preparos!$A:$A,0)),"preparo","")))</f>
      </c>
      <c r="C67" s="7"/>
      <c r="D67" s="7"/>
      <c r="E67" s="8">
        <f>IF(C67="","",IFERROR(VLOOKUP(C67,Insumos!$A:$I,9,FALSE),IFERROR(VLOOKUP(C67,Preparos!$A:$D,4,FALSE),"")))</f>
      </c>
      <c r="F67" s="8">
        <f>IF(C67="","",IFERROR(VLOOKUP(C67,Insumos!$A:$G,7,FALSE),100))</f>
      </c>
      <c r="G67" s="9">
        <f>IF(C67="","",IFERROR(VLOOKUP(C67,Insumos!$A:$J,10,FALSE),IFERROR(VLOOKUP(C67,Preparos!$A:$F,6,FALSE),0)))</f>
      </c>
      <c r="H67" s="10">
        <f>IF(OR(D67="",G67="",F67=0),"",D67*G67*(100/F67))</f>
      </c>
      <c r="I67" s="5"/>
    </row>
    <row r="68" spans="1:9" x14ac:dyDescent="0.25">
      <c r="A68" s="7"/>
      <c r="B68" s="8">
        <f>IF(C68="","",IF(ISNUMBER(MATCH(C68,Insumos!$A:$A,0)),"insumo",IF(ISNUMBER(MATCH(C68,Preparos!$A:$A,0)),"preparo","")))</f>
      </c>
      <c r="C68" s="7"/>
      <c r="D68" s="7"/>
      <c r="E68" s="8">
        <f>IF(C68="","",IFERROR(VLOOKUP(C68,Insumos!$A:$I,9,FALSE),IFERROR(VLOOKUP(C68,Preparos!$A:$D,4,FALSE),"")))</f>
      </c>
      <c r="F68" s="8">
        <f>IF(C68="","",IFERROR(VLOOKUP(C68,Insumos!$A:$G,7,FALSE),100))</f>
      </c>
      <c r="G68" s="9">
        <f>IF(C68="","",IFERROR(VLOOKUP(C68,Insumos!$A:$J,10,FALSE),IFERROR(VLOOKUP(C68,Preparos!$A:$F,6,FALSE),0)))</f>
      </c>
      <c r="H68" s="10">
        <f>IF(OR(D68="",G68="",F68=0),"",D68*G68*(100/F68))</f>
      </c>
      <c r="I68" s="5"/>
    </row>
    <row r="69" spans="1:9" x14ac:dyDescent="0.25">
      <c r="A69" s="7"/>
      <c r="B69" s="8">
        <f>IF(C69="","",IF(ISNUMBER(MATCH(C69,Insumos!$A:$A,0)),"insumo",IF(ISNUMBER(MATCH(C69,Preparos!$A:$A,0)),"preparo","")))</f>
      </c>
      <c r="C69" s="7"/>
      <c r="D69" s="7"/>
      <c r="E69" s="8">
        <f>IF(C69="","",IFERROR(VLOOKUP(C69,Insumos!$A:$I,9,FALSE),IFERROR(VLOOKUP(C69,Preparos!$A:$D,4,FALSE),"")))</f>
      </c>
      <c r="F69" s="8">
        <f>IF(C69="","",IFERROR(VLOOKUP(C69,Insumos!$A:$G,7,FALSE),100))</f>
      </c>
      <c r="G69" s="9">
        <f>IF(C69="","",IFERROR(VLOOKUP(C69,Insumos!$A:$J,10,FALSE),IFERROR(VLOOKUP(C69,Preparos!$A:$F,6,FALSE),0)))</f>
      </c>
      <c r="H69" s="10">
        <f>IF(OR(D69="",G69="",F69=0),"",D69*G69*(100/F69))</f>
      </c>
      <c r="I69" s="5"/>
    </row>
    <row r="70" spans="1:9" x14ac:dyDescent="0.25">
      <c r="A70" s="7"/>
      <c r="B70" s="8">
        <f>IF(C70="","",IF(ISNUMBER(MATCH(C70,Insumos!$A:$A,0)),"insumo",IF(ISNUMBER(MATCH(C70,Preparos!$A:$A,0)),"preparo","")))</f>
      </c>
      <c r="C70" s="7"/>
      <c r="D70" s="7"/>
      <c r="E70" s="8">
        <f>IF(C70="","",IFERROR(VLOOKUP(C70,Insumos!$A:$I,9,FALSE),IFERROR(VLOOKUP(C70,Preparos!$A:$D,4,FALSE),"")))</f>
      </c>
      <c r="F70" s="8">
        <f>IF(C70="","",IFERROR(VLOOKUP(C70,Insumos!$A:$G,7,FALSE),100))</f>
      </c>
      <c r="G70" s="9">
        <f>IF(C70="","",IFERROR(VLOOKUP(C70,Insumos!$A:$J,10,FALSE),IFERROR(VLOOKUP(C70,Preparos!$A:$F,6,FALSE),0)))</f>
      </c>
      <c r="H70" s="10">
        <f>IF(OR(D70="",G70="",F70=0),"",D70*G70*(100/F70))</f>
      </c>
      <c r="I70" s="5"/>
    </row>
    <row r="71" spans="1:9" x14ac:dyDescent="0.25">
      <c r="A71" s="7"/>
      <c r="B71" s="8">
        <f>IF(C71="","",IF(ISNUMBER(MATCH(C71,Insumos!$A:$A,0)),"insumo",IF(ISNUMBER(MATCH(C71,Preparos!$A:$A,0)),"preparo","")))</f>
      </c>
      <c r="C71" s="7"/>
      <c r="D71" s="7"/>
      <c r="E71" s="8">
        <f>IF(C71="","",IFERROR(VLOOKUP(C71,Insumos!$A:$I,9,FALSE),IFERROR(VLOOKUP(C71,Preparos!$A:$D,4,FALSE),"")))</f>
      </c>
      <c r="F71" s="8">
        <f>IF(C71="","",IFERROR(VLOOKUP(C71,Insumos!$A:$G,7,FALSE),100))</f>
      </c>
      <c r="G71" s="9">
        <f>IF(C71="","",IFERROR(VLOOKUP(C71,Insumos!$A:$J,10,FALSE),IFERROR(VLOOKUP(C71,Preparos!$A:$F,6,FALSE),0)))</f>
      </c>
      <c r="H71" s="10">
        <f>IF(OR(D71="",G71="",F71=0),"",D71*G71*(100/F71))</f>
      </c>
      <c r="I71" s="5"/>
    </row>
    <row r="72" spans="1:9" x14ac:dyDescent="0.25">
      <c r="A72" s="7"/>
      <c r="B72" s="8">
        <f>IF(C72="","",IF(ISNUMBER(MATCH(C72,Insumos!$A:$A,0)),"insumo",IF(ISNUMBER(MATCH(C72,Preparos!$A:$A,0)),"preparo","")))</f>
      </c>
      <c r="C72" s="7"/>
      <c r="D72" s="7"/>
      <c r="E72" s="8">
        <f>IF(C72="","",IFERROR(VLOOKUP(C72,Insumos!$A:$I,9,FALSE),IFERROR(VLOOKUP(C72,Preparos!$A:$D,4,FALSE),"")))</f>
      </c>
      <c r="F72" s="8">
        <f>IF(C72="","",IFERROR(VLOOKUP(C72,Insumos!$A:$G,7,FALSE),100))</f>
      </c>
      <c r="G72" s="9">
        <f>IF(C72="","",IFERROR(VLOOKUP(C72,Insumos!$A:$J,10,FALSE),IFERROR(VLOOKUP(C72,Preparos!$A:$F,6,FALSE),0)))</f>
      </c>
      <c r="H72" s="10">
        <f>IF(OR(D72="",G72="",F72=0),"",D72*G72*(100/F72))</f>
      </c>
      <c r="I72" s="5"/>
    </row>
    <row r="73" spans="1:9" x14ac:dyDescent="0.25">
      <c r="A73" s="7"/>
      <c r="B73" s="8">
        <f>IF(C73="","",IF(ISNUMBER(MATCH(C73,Insumos!$A:$A,0)),"insumo",IF(ISNUMBER(MATCH(C73,Preparos!$A:$A,0)),"preparo","")))</f>
      </c>
      <c r="C73" s="7"/>
      <c r="D73" s="7"/>
      <c r="E73" s="8">
        <f>IF(C73="","",IFERROR(VLOOKUP(C73,Insumos!$A:$I,9,FALSE),IFERROR(VLOOKUP(C73,Preparos!$A:$D,4,FALSE),"")))</f>
      </c>
      <c r="F73" s="8">
        <f>IF(C73="","",IFERROR(VLOOKUP(C73,Insumos!$A:$G,7,FALSE),100))</f>
      </c>
      <c r="G73" s="9">
        <f>IF(C73="","",IFERROR(VLOOKUP(C73,Insumos!$A:$J,10,FALSE),IFERROR(VLOOKUP(C73,Preparos!$A:$F,6,FALSE),0)))</f>
      </c>
      <c r="H73" s="10">
        <f>IF(OR(D73="",G73="",F73=0),"",D73*G73*(100/F73))</f>
      </c>
      <c r="I73" s="5"/>
    </row>
    <row r="74" spans="1:9" x14ac:dyDescent="0.25">
      <c r="A74" s="7"/>
      <c r="B74" s="8">
        <f>IF(C74="","",IF(ISNUMBER(MATCH(C74,Insumos!$A:$A,0)),"insumo",IF(ISNUMBER(MATCH(C74,Preparos!$A:$A,0)),"preparo","")))</f>
      </c>
      <c r="C74" s="7"/>
      <c r="D74" s="7"/>
      <c r="E74" s="8">
        <f>IF(C74="","",IFERROR(VLOOKUP(C74,Insumos!$A:$I,9,FALSE),IFERROR(VLOOKUP(C74,Preparos!$A:$D,4,FALSE),"")))</f>
      </c>
      <c r="F74" s="8">
        <f>IF(C74="","",IFERROR(VLOOKUP(C74,Insumos!$A:$G,7,FALSE),100))</f>
      </c>
      <c r="G74" s="9">
        <f>IF(C74="","",IFERROR(VLOOKUP(C74,Insumos!$A:$J,10,FALSE),IFERROR(VLOOKUP(C74,Preparos!$A:$F,6,FALSE),0)))</f>
      </c>
      <c r="H74" s="10">
        <f>IF(OR(D74="",G74="",F74=0),"",D74*G74*(100/F74))</f>
      </c>
      <c r="I74" s="5"/>
    </row>
    <row r="75" spans="1:9" x14ac:dyDescent="0.25">
      <c r="A75" s="7"/>
      <c r="B75" s="8">
        <f>IF(C75="","",IF(ISNUMBER(MATCH(C75,Insumos!$A:$A,0)),"insumo",IF(ISNUMBER(MATCH(C75,Preparos!$A:$A,0)),"preparo","")))</f>
      </c>
      <c r="C75" s="7"/>
      <c r="D75" s="7"/>
      <c r="E75" s="8">
        <f>IF(C75="","",IFERROR(VLOOKUP(C75,Insumos!$A:$I,9,FALSE),IFERROR(VLOOKUP(C75,Preparos!$A:$D,4,FALSE),"")))</f>
      </c>
      <c r="F75" s="8">
        <f>IF(C75="","",IFERROR(VLOOKUP(C75,Insumos!$A:$G,7,FALSE),100))</f>
      </c>
      <c r="G75" s="9">
        <f>IF(C75="","",IFERROR(VLOOKUP(C75,Insumos!$A:$J,10,FALSE),IFERROR(VLOOKUP(C75,Preparos!$A:$F,6,FALSE),0)))</f>
      </c>
      <c r="H75" s="10">
        <f>IF(OR(D75="",G75="",F75=0),"",D75*G75*(100/F75))</f>
      </c>
      <c r="I75" s="5"/>
    </row>
    <row r="76" spans="1:9" x14ac:dyDescent="0.25">
      <c r="A76" s="7"/>
      <c r="B76" s="8">
        <f>IF(C76="","",IF(ISNUMBER(MATCH(C76,Insumos!$A:$A,0)),"insumo",IF(ISNUMBER(MATCH(C76,Preparos!$A:$A,0)),"preparo","")))</f>
      </c>
      <c r="C76" s="7"/>
      <c r="D76" s="7"/>
      <c r="E76" s="8">
        <f>IF(C76="","",IFERROR(VLOOKUP(C76,Insumos!$A:$I,9,FALSE),IFERROR(VLOOKUP(C76,Preparos!$A:$D,4,FALSE),"")))</f>
      </c>
      <c r="F76" s="8">
        <f>IF(C76="","",IFERROR(VLOOKUP(C76,Insumos!$A:$G,7,FALSE),100))</f>
      </c>
      <c r="G76" s="9">
        <f>IF(C76="","",IFERROR(VLOOKUP(C76,Insumos!$A:$J,10,FALSE),IFERROR(VLOOKUP(C76,Preparos!$A:$F,6,FALSE),0)))</f>
      </c>
      <c r="H76" s="10">
        <f>IF(OR(D76="",G76="",F76=0),"",D76*G76*(100/F76))</f>
      </c>
      <c r="I76" s="5"/>
    </row>
    <row r="77" spans="1:9" x14ac:dyDescent="0.25">
      <c r="A77" s="7"/>
      <c r="B77" s="8">
        <f>IF(C77="","",IF(ISNUMBER(MATCH(C77,Insumos!$A:$A,0)),"insumo",IF(ISNUMBER(MATCH(C77,Preparos!$A:$A,0)),"preparo","")))</f>
      </c>
      <c r="C77" s="7"/>
      <c r="D77" s="7"/>
      <c r="E77" s="8">
        <f>IF(C77="","",IFERROR(VLOOKUP(C77,Insumos!$A:$I,9,FALSE),IFERROR(VLOOKUP(C77,Preparos!$A:$D,4,FALSE),"")))</f>
      </c>
      <c r="F77" s="8">
        <f>IF(C77="","",IFERROR(VLOOKUP(C77,Insumos!$A:$G,7,FALSE),100))</f>
      </c>
      <c r="G77" s="9">
        <f>IF(C77="","",IFERROR(VLOOKUP(C77,Insumos!$A:$J,10,FALSE),IFERROR(VLOOKUP(C77,Preparos!$A:$F,6,FALSE),0)))</f>
      </c>
      <c r="H77" s="10">
        <f>IF(OR(D77="",G77="",F77=0),"",D77*G77*(100/F77))</f>
      </c>
      <c r="I77" s="5"/>
    </row>
    <row r="78" spans="1:9" x14ac:dyDescent="0.25">
      <c r="A78" s="7"/>
      <c r="B78" s="8">
        <f>IF(C78="","",IF(ISNUMBER(MATCH(C78,Insumos!$A:$A,0)),"insumo",IF(ISNUMBER(MATCH(C78,Preparos!$A:$A,0)),"preparo","")))</f>
      </c>
      <c r="C78" s="7"/>
      <c r="D78" s="7"/>
      <c r="E78" s="8">
        <f>IF(C78="","",IFERROR(VLOOKUP(C78,Insumos!$A:$I,9,FALSE),IFERROR(VLOOKUP(C78,Preparos!$A:$D,4,FALSE),"")))</f>
      </c>
      <c r="F78" s="8">
        <f>IF(C78="","",IFERROR(VLOOKUP(C78,Insumos!$A:$G,7,FALSE),100))</f>
      </c>
      <c r="G78" s="9">
        <f>IF(C78="","",IFERROR(VLOOKUP(C78,Insumos!$A:$J,10,FALSE),IFERROR(VLOOKUP(C78,Preparos!$A:$F,6,FALSE),0)))</f>
      </c>
      <c r="H78" s="10">
        <f>IF(OR(D78="",G78="",F78=0),"",D78*G78*(100/F78))</f>
      </c>
      <c r="I78" s="5"/>
    </row>
    <row r="79" spans="1:9" x14ac:dyDescent="0.25">
      <c r="A79" s="7"/>
      <c r="B79" s="8">
        <f>IF(C79="","",IF(ISNUMBER(MATCH(C79,Insumos!$A:$A,0)),"insumo",IF(ISNUMBER(MATCH(C79,Preparos!$A:$A,0)),"preparo","")))</f>
      </c>
      <c r="C79" s="7"/>
      <c r="D79" s="7"/>
      <c r="E79" s="8">
        <f>IF(C79="","",IFERROR(VLOOKUP(C79,Insumos!$A:$I,9,FALSE),IFERROR(VLOOKUP(C79,Preparos!$A:$D,4,FALSE),"")))</f>
      </c>
      <c r="F79" s="8">
        <f>IF(C79="","",IFERROR(VLOOKUP(C79,Insumos!$A:$G,7,FALSE),100))</f>
      </c>
      <c r="G79" s="9">
        <f>IF(C79="","",IFERROR(VLOOKUP(C79,Insumos!$A:$J,10,FALSE),IFERROR(VLOOKUP(C79,Preparos!$A:$F,6,FALSE),0)))</f>
      </c>
      <c r="H79" s="10">
        <f>IF(OR(D79="",G79="",F79=0),"",D79*G79*(100/F79))</f>
      </c>
      <c r="I79" s="5"/>
    </row>
    <row r="80" spans="1:9" x14ac:dyDescent="0.25">
      <c r="A80" s="7"/>
      <c r="B80" s="8">
        <f>IF(C80="","",IF(ISNUMBER(MATCH(C80,Insumos!$A:$A,0)),"insumo",IF(ISNUMBER(MATCH(C80,Preparos!$A:$A,0)),"preparo","")))</f>
      </c>
      <c r="C80" s="7"/>
      <c r="D80" s="7"/>
      <c r="E80" s="8">
        <f>IF(C80="","",IFERROR(VLOOKUP(C80,Insumos!$A:$I,9,FALSE),IFERROR(VLOOKUP(C80,Preparos!$A:$D,4,FALSE),"")))</f>
      </c>
      <c r="F80" s="8">
        <f>IF(C80="","",IFERROR(VLOOKUP(C80,Insumos!$A:$G,7,FALSE),100))</f>
      </c>
      <c r="G80" s="9">
        <f>IF(C80="","",IFERROR(VLOOKUP(C80,Insumos!$A:$J,10,FALSE),IFERROR(VLOOKUP(C80,Preparos!$A:$F,6,FALSE),0)))</f>
      </c>
      <c r="H80" s="10">
        <f>IF(OR(D80="",G80="",F80=0),"",D80*G80*(100/F80))</f>
      </c>
      <c r="I80" s="5"/>
    </row>
    <row r="81" spans="1:9" x14ac:dyDescent="0.25">
      <c r="A81" s="7"/>
      <c r="B81" s="8">
        <f>IF(C81="","",IF(ISNUMBER(MATCH(C81,Insumos!$A:$A,0)),"insumo",IF(ISNUMBER(MATCH(C81,Preparos!$A:$A,0)),"preparo","")))</f>
      </c>
      <c r="C81" s="7"/>
      <c r="D81" s="7"/>
      <c r="E81" s="8">
        <f>IF(C81="","",IFERROR(VLOOKUP(C81,Insumos!$A:$I,9,FALSE),IFERROR(VLOOKUP(C81,Preparos!$A:$D,4,FALSE),"")))</f>
      </c>
      <c r="F81" s="8">
        <f>IF(C81="","",IFERROR(VLOOKUP(C81,Insumos!$A:$G,7,FALSE),100))</f>
      </c>
      <c r="G81" s="9">
        <f>IF(C81="","",IFERROR(VLOOKUP(C81,Insumos!$A:$J,10,FALSE),IFERROR(VLOOKUP(C81,Preparos!$A:$F,6,FALSE),0)))</f>
      </c>
      <c r="H81" s="10">
        <f>IF(OR(D81="",G81="",F81=0),"",D81*G81*(100/F81))</f>
      </c>
      <c r="I81" s="5"/>
    </row>
    <row r="82" spans="1:9" x14ac:dyDescent="0.25">
      <c r="A82" s="7"/>
      <c r="B82" s="8">
        <f>IF(C82="","",IF(ISNUMBER(MATCH(C82,Insumos!$A:$A,0)),"insumo",IF(ISNUMBER(MATCH(C82,Preparos!$A:$A,0)),"preparo","")))</f>
      </c>
      <c r="C82" s="7"/>
      <c r="D82" s="7"/>
      <c r="E82" s="8">
        <f>IF(C82="","",IFERROR(VLOOKUP(C82,Insumos!$A:$I,9,FALSE),IFERROR(VLOOKUP(C82,Preparos!$A:$D,4,FALSE),"")))</f>
      </c>
      <c r="F82" s="8">
        <f>IF(C82="","",IFERROR(VLOOKUP(C82,Insumos!$A:$G,7,FALSE),100))</f>
      </c>
      <c r="G82" s="9">
        <f>IF(C82="","",IFERROR(VLOOKUP(C82,Insumos!$A:$J,10,FALSE),IFERROR(VLOOKUP(C82,Preparos!$A:$F,6,FALSE),0)))</f>
      </c>
      <c r="H82" s="10">
        <f>IF(OR(D82="",G82="",F82=0),"",D82*G82*(100/F82))</f>
      </c>
      <c r="I82" s="5"/>
    </row>
    <row r="83" spans="1:9" x14ac:dyDescent="0.25">
      <c r="A83" s="7"/>
      <c r="B83" s="8">
        <f>IF(C83="","",IF(ISNUMBER(MATCH(C83,Insumos!$A:$A,0)),"insumo",IF(ISNUMBER(MATCH(C83,Preparos!$A:$A,0)),"preparo","")))</f>
      </c>
      <c r="C83" s="7"/>
      <c r="D83" s="7"/>
      <c r="E83" s="8">
        <f>IF(C83="","",IFERROR(VLOOKUP(C83,Insumos!$A:$I,9,FALSE),IFERROR(VLOOKUP(C83,Preparos!$A:$D,4,FALSE),"")))</f>
      </c>
      <c r="F83" s="8">
        <f>IF(C83="","",IFERROR(VLOOKUP(C83,Insumos!$A:$G,7,FALSE),100))</f>
      </c>
      <c r="G83" s="9">
        <f>IF(C83="","",IFERROR(VLOOKUP(C83,Insumos!$A:$J,10,FALSE),IFERROR(VLOOKUP(C83,Preparos!$A:$F,6,FALSE),0)))</f>
      </c>
      <c r="H83" s="10">
        <f>IF(OR(D83="",G83="",F83=0),"",D83*G83*(100/F83))</f>
      </c>
      <c r="I83" s="5"/>
    </row>
    <row r="84" spans="1:9" x14ac:dyDescent="0.25">
      <c r="A84" s="7"/>
      <c r="B84" s="8">
        <f>IF(C84="","",IF(ISNUMBER(MATCH(C84,Insumos!$A:$A,0)),"insumo",IF(ISNUMBER(MATCH(C84,Preparos!$A:$A,0)),"preparo","")))</f>
      </c>
      <c r="C84" s="7"/>
      <c r="D84" s="7"/>
      <c r="E84" s="8">
        <f>IF(C84="","",IFERROR(VLOOKUP(C84,Insumos!$A:$I,9,FALSE),IFERROR(VLOOKUP(C84,Preparos!$A:$D,4,FALSE),"")))</f>
      </c>
      <c r="F84" s="8">
        <f>IF(C84="","",IFERROR(VLOOKUP(C84,Insumos!$A:$G,7,FALSE),100))</f>
      </c>
      <c r="G84" s="9">
        <f>IF(C84="","",IFERROR(VLOOKUP(C84,Insumos!$A:$J,10,FALSE),IFERROR(VLOOKUP(C84,Preparos!$A:$F,6,FALSE),0)))</f>
      </c>
      <c r="H84" s="10">
        <f>IF(OR(D84="",G84="",F84=0),"",D84*G84*(100/F84))</f>
      </c>
      <c r="I84" s="5"/>
    </row>
    <row r="85" spans="1:9" x14ac:dyDescent="0.25">
      <c r="A85" s="7"/>
      <c r="B85" s="8">
        <f>IF(C85="","",IF(ISNUMBER(MATCH(C85,Insumos!$A:$A,0)),"insumo",IF(ISNUMBER(MATCH(C85,Preparos!$A:$A,0)),"preparo","")))</f>
      </c>
      <c r="C85" s="7"/>
      <c r="D85" s="7"/>
      <c r="E85" s="8">
        <f>IF(C85="","",IFERROR(VLOOKUP(C85,Insumos!$A:$I,9,FALSE),IFERROR(VLOOKUP(C85,Preparos!$A:$D,4,FALSE),"")))</f>
      </c>
      <c r="F85" s="8">
        <f>IF(C85="","",IFERROR(VLOOKUP(C85,Insumos!$A:$G,7,FALSE),100))</f>
      </c>
      <c r="G85" s="9">
        <f>IF(C85="","",IFERROR(VLOOKUP(C85,Insumos!$A:$J,10,FALSE),IFERROR(VLOOKUP(C85,Preparos!$A:$F,6,FALSE),0)))</f>
      </c>
      <c r="H85" s="10">
        <f>IF(OR(D85="",G85="",F85=0),"",D85*G85*(100/F85))</f>
      </c>
      <c r="I85" s="5"/>
    </row>
    <row r="86" spans="1:9" x14ac:dyDescent="0.25">
      <c r="A86" s="7"/>
      <c r="B86" s="8">
        <f>IF(C86="","",IF(ISNUMBER(MATCH(C86,Insumos!$A:$A,0)),"insumo",IF(ISNUMBER(MATCH(C86,Preparos!$A:$A,0)),"preparo","")))</f>
      </c>
      <c r="C86" s="7"/>
      <c r="D86" s="7"/>
      <c r="E86" s="8">
        <f>IF(C86="","",IFERROR(VLOOKUP(C86,Insumos!$A:$I,9,FALSE),IFERROR(VLOOKUP(C86,Preparos!$A:$D,4,FALSE),"")))</f>
      </c>
      <c r="F86" s="8">
        <f>IF(C86="","",IFERROR(VLOOKUP(C86,Insumos!$A:$G,7,FALSE),100))</f>
      </c>
      <c r="G86" s="9">
        <f>IF(C86="","",IFERROR(VLOOKUP(C86,Insumos!$A:$J,10,FALSE),IFERROR(VLOOKUP(C86,Preparos!$A:$F,6,FALSE),0)))</f>
      </c>
      <c r="H86" s="10">
        <f>IF(OR(D86="",G86="",F86=0),"",D86*G86*(100/F86))</f>
      </c>
      <c r="I86" s="5"/>
    </row>
    <row r="87" spans="1:9" x14ac:dyDescent="0.25">
      <c r="A87" s="7"/>
      <c r="B87" s="8">
        <f>IF(C87="","",IF(ISNUMBER(MATCH(C87,Insumos!$A:$A,0)),"insumo",IF(ISNUMBER(MATCH(C87,Preparos!$A:$A,0)),"preparo","")))</f>
      </c>
      <c r="C87" s="7"/>
      <c r="D87" s="7"/>
      <c r="E87" s="8">
        <f>IF(C87="","",IFERROR(VLOOKUP(C87,Insumos!$A:$I,9,FALSE),IFERROR(VLOOKUP(C87,Preparos!$A:$D,4,FALSE),"")))</f>
      </c>
      <c r="F87" s="8">
        <f>IF(C87="","",IFERROR(VLOOKUP(C87,Insumos!$A:$G,7,FALSE),100))</f>
      </c>
      <c r="G87" s="9">
        <f>IF(C87="","",IFERROR(VLOOKUP(C87,Insumos!$A:$J,10,FALSE),IFERROR(VLOOKUP(C87,Preparos!$A:$F,6,FALSE),0)))</f>
      </c>
      <c r="H87" s="10">
        <f>IF(OR(D87="",G87="",F87=0),"",D87*G87*(100/F87))</f>
      </c>
      <c r="I87" s="5"/>
    </row>
    <row r="88" spans="1:9" x14ac:dyDescent="0.25">
      <c r="A88" s="7"/>
      <c r="B88" s="8">
        <f>IF(C88="","",IF(ISNUMBER(MATCH(C88,Insumos!$A:$A,0)),"insumo",IF(ISNUMBER(MATCH(C88,Preparos!$A:$A,0)),"preparo","")))</f>
      </c>
      <c r="C88" s="7"/>
      <c r="D88" s="7"/>
      <c r="E88" s="8">
        <f>IF(C88="","",IFERROR(VLOOKUP(C88,Insumos!$A:$I,9,FALSE),IFERROR(VLOOKUP(C88,Preparos!$A:$D,4,FALSE),"")))</f>
      </c>
      <c r="F88" s="8">
        <f>IF(C88="","",IFERROR(VLOOKUP(C88,Insumos!$A:$G,7,FALSE),100))</f>
      </c>
      <c r="G88" s="9">
        <f>IF(C88="","",IFERROR(VLOOKUP(C88,Insumos!$A:$J,10,FALSE),IFERROR(VLOOKUP(C88,Preparos!$A:$F,6,FALSE),0)))</f>
      </c>
      <c r="H88" s="10">
        <f>IF(OR(D88="",G88="",F88=0),"",D88*G88*(100/F88))</f>
      </c>
      <c r="I88" s="5"/>
    </row>
    <row r="89" spans="1:9" x14ac:dyDescent="0.25">
      <c r="A89" s="7"/>
      <c r="B89" s="8">
        <f>IF(C89="","",IF(ISNUMBER(MATCH(C89,Insumos!$A:$A,0)),"insumo",IF(ISNUMBER(MATCH(C89,Preparos!$A:$A,0)),"preparo","")))</f>
      </c>
      <c r="C89" s="7"/>
      <c r="D89" s="7"/>
      <c r="E89" s="8">
        <f>IF(C89="","",IFERROR(VLOOKUP(C89,Insumos!$A:$I,9,FALSE),IFERROR(VLOOKUP(C89,Preparos!$A:$D,4,FALSE),"")))</f>
      </c>
      <c r="F89" s="8">
        <f>IF(C89="","",IFERROR(VLOOKUP(C89,Insumos!$A:$G,7,FALSE),100))</f>
      </c>
      <c r="G89" s="9">
        <f>IF(C89="","",IFERROR(VLOOKUP(C89,Insumos!$A:$J,10,FALSE),IFERROR(VLOOKUP(C89,Preparos!$A:$F,6,FALSE),0)))</f>
      </c>
      <c r="H89" s="10">
        <f>IF(OR(D89="",G89="",F89=0),"",D89*G89*(100/F89))</f>
      </c>
      <c r="I89" s="5"/>
    </row>
    <row r="90" spans="1:9" x14ac:dyDescent="0.25">
      <c r="A90" s="7"/>
      <c r="B90" s="8">
        <f>IF(C90="","",IF(ISNUMBER(MATCH(C90,Insumos!$A:$A,0)),"insumo",IF(ISNUMBER(MATCH(C90,Preparos!$A:$A,0)),"preparo","")))</f>
      </c>
      <c r="C90" s="7"/>
      <c r="D90" s="7"/>
      <c r="E90" s="8">
        <f>IF(C90="","",IFERROR(VLOOKUP(C90,Insumos!$A:$I,9,FALSE),IFERROR(VLOOKUP(C90,Preparos!$A:$D,4,FALSE),"")))</f>
      </c>
      <c r="F90" s="8">
        <f>IF(C90="","",IFERROR(VLOOKUP(C90,Insumos!$A:$G,7,FALSE),100))</f>
      </c>
      <c r="G90" s="9">
        <f>IF(C90="","",IFERROR(VLOOKUP(C90,Insumos!$A:$J,10,FALSE),IFERROR(VLOOKUP(C90,Preparos!$A:$F,6,FALSE),0)))</f>
      </c>
      <c r="H90" s="10">
        <f>IF(OR(D90="",G90="",F90=0),"",D90*G90*(100/F90))</f>
      </c>
      <c r="I90" s="5"/>
    </row>
    <row r="91" spans="1:9" x14ac:dyDescent="0.25">
      <c r="A91" s="7"/>
      <c r="B91" s="8">
        <f>IF(C91="","",IF(ISNUMBER(MATCH(C91,Insumos!$A:$A,0)),"insumo",IF(ISNUMBER(MATCH(C91,Preparos!$A:$A,0)),"preparo","")))</f>
      </c>
      <c r="C91" s="7"/>
      <c r="D91" s="7"/>
      <c r="E91" s="8">
        <f>IF(C91="","",IFERROR(VLOOKUP(C91,Insumos!$A:$I,9,FALSE),IFERROR(VLOOKUP(C91,Preparos!$A:$D,4,FALSE),"")))</f>
      </c>
      <c r="F91" s="8">
        <f>IF(C91="","",IFERROR(VLOOKUP(C91,Insumos!$A:$G,7,FALSE),100))</f>
      </c>
      <c r="G91" s="9">
        <f>IF(C91="","",IFERROR(VLOOKUP(C91,Insumos!$A:$J,10,FALSE),IFERROR(VLOOKUP(C91,Preparos!$A:$F,6,FALSE),0)))</f>
      </c>
      <c r="H91" s="10">
        <f>IF(OR(D91="",G91="",F91=0),"",D91*G91*(100/F91))</f>
      </c>
      <c r="I91" s="5"/>
    </row>
    <row r="92" spans="1:9" x14ac:dyDescent="0.25">
      <c r="A92" s="7"/>
      <c r="B92" s="8">
        <f>IF(C92="","",IF(ISNUMBER(MATCH(C92,Insumos!$A:$A,0)),"insumo",IF(ISNUMBER(MATCH(C92,Preparos!$A:$A,0)),"preparo","")))</f>
      </c>
      <c r="C92" s="7"/>
      <c r="D92" s="7"/>
      <c r="E92" s="8">
        <f>IF(C92="","",IFERROR(VLOOKUP(C92,Insumos!$A:$I,9,FALSE),IFERROR(VLOOKUP(C92,Preparos!$A:$D,4,FALSE),"")))</f>
      </c>
      <c r="F92" s="8">
        <f>IF(C92="","",IFERROR(VLOOKUP(C92,Insumos!$A:$G,7,FALSE),100))</f>
      </c>
      <c r="G92" s="9">
        <f>IF(C92="","",IFERROR(VLOOKUP(C92,Insumos!$A:$J,10,FALSE),IFERROR(VLOOKUP(C92,Preparos!$A:$F,6,FALSE),0)))</f>
      </c>
      <c r="H92" s="10">
        <f>IF(OR(D92="",G92="",F92=0),"",D92*G92*(100/F92))</f>
      </c>
      <c r="I92" s="5"/>
    </row>
    <row r="93" spans="1:9" x14ac:dyDescent="0.25">
      <c r="A93" s="7"/>
      <c r="B93" s="8">
        <f>IF(C93="","",IF(ISNUMBER(MATCH(C93,Insumos!$A:$A,0)),"insumo",IF(ISNUMBER(MATCH(C93,Preparos!$A:$A,0)),"preparo","")))</f>
      </c>
      <c r="C93" s="7"/>
      <c r="D93" s="7"/>
      <c r="E93" s="8">
        <f>IF(C93="","",IFERROR(VLOOKUP(C93,Insumos!$A:$I,9,FALSE),IFERROR(VLOOKUP(C93,Preparos!$A:$D,4,FALSE),"")))</f>
      </c>
      <c r="F93" s="8">
        <f>IF(C93="","",IFERROR(VLOOKUP(C93,Insumos!$A:$G,7,FALSE),100))</f>
      </c>
      <c r="G93" s="9">
        <f>IF(C93="","",IFERROR(VLOOKUP(C93,Insumos!$A:$J,10,FALSE),IFERROR(VLOOKUP(C93,Preparos!$A:$F,6,FALSE),0)))</f>
      </c>
      <c r="H93" s="10">
        <f>IF(OR(D93="",G93="",F93=0),"",D93*G93*(100/F93))</f>
      </c>
      <c r="I93" s="5"/>
    </row>
    <row r="94" spans="1:9" x14ac:dyDescent="0.25">
      <c r="A94" s="7"/>
      <c r="B94" s="8">
        <f>IF(C94="","",IF(ISNUMBER(MATCH(C94,Insumos!$A:$A,0)),"insumo",IF(ISNUMBER(MATCH(C94,Preparos!$A:$A,0)),"preparo","")))</f>
      </c>
      <c r="C94" s="7"/>
      <c r="D94" s="7"/>
      <c r="E94" s="8">
        <f>IF(C94="","",IFERROR(VLOOKUP(C94,Insumos!$A:$I,9,FALSE),IFERROR(VLOOKUP(C94,Preparos!$A:$D,4,FALSE),"")))</f>
      </c>
      <c r="F94" s="8">
        <f>IF(C94="","",IFERROR(VLOOKUP(C94,Insumos!$A:$G,7,FALSE),100))</f>
      </c>
      <c r="G94" s="9">
        <f>IF(C94="","",IFERROR(VLOOKUP(C94,Insumos!$A:$J,10,FALSE),IFERROR(VLOOKUP(C94,Preparos!$A:$F,6,FALSE),0)))</f>
      </c>
      <c r="H94" s="10">
        <f>IF(OR(D94="",G94="",F94=0),"",D94*G94*(100/F94))</f>
      </c>
      <c r="I94" s="5"/>
    </row>
    <row r="95" spans="1:9" x14ac:dyDescent="0.25">
      <c r="A95" s="7"/>
      <c r="B95" s="8">
        <f>IF(C95="","",IF(ISNUMBER(MATCH(C95,Insumos!$A:$A,0)),"insumo",IF(ISNUMBER(MATCH(C95,Preparos!$A:$A,0)),"preparo","")))</f>
      </c>
      <c r="C95" s="7"/>
      <c r="D95" s="7"/>
      <c r="E95" s="8">
        <f>IF(C95="","",IFERROR(VLOOKUP(C95,Insumos!$A:$I,9,FALSE),IFERROR(VLOOKUP(C95,Preparos!$A:$D,4,FALSE),"")))</f>
      </c>
      <c r="F95" s="8">
        <f>IF(C95="","",IFERROR(VLOOKUP(C95,Insumos!$A:$G,7,FALSE),100))</f>
      </c>
      <c r="G95" s="9">
        <f>IF(C95="","",IFERROR(VLOOKUP(C95,Insumos!$A:$J,10,FALSE),IFERROR(VLOOKUP(C95,Preparos!$A:$F,6,FALSE),0)))</f>
      </c>
      <c r="H95" s="10">
        <f>IF(OR(D95="",G95="",F95=0),"",D95*G95*(100/F95))</f>
      </c>
      <c r="I95" s="5"/>
    </row>
    <row r="96" spans="1:9" x14ac:dyDescent="0.25">
      <c r="A96" s="7"/>
      <c r="B96" s="8">
        <f>IF(C96="","",IF(ISNUMBER(MATCH(C96,Insumos!$A:$A,0)),"insumo",IF(ISNUMBER(MATCH(C96,Preparos!$A:$A,0)),"preparo","")))</f>
      </c>
      <c r="C96" s="7"/>
      <c r="D96" s="7"/>
      <c r="E96" s="8">
        <f>IF(C96="","",IFERROR(VLOOKUP(C96,Insumos!$A:$I,9,FALSE),IFERROR(VLOOKUP(C96,Preparos!$A:$D,4,FALSE),"")))</f>
      </c>
      <c r="F96" s="8">
        <f>IF(C96="","",IFERROR(VLOOKUP(C96,Insumos!$A:$G,7,FALSE),100))</f>
      </c>
      <c r="G96" s="9">
        <f>IF(C96="","",IFERROR(VLOOKUP(C96,Insumos!$A:$J,10,FALSE),IFERROR(VLOOKUP(C96,Preparos!$A:$F,6,FALSE),0)))</f>
      </c>
      <c r="H96" s="10">
        <f>IF(OR(D96="",G96="",F96=0),"",D96*G96*(100/F96))</f>
      </c>
      <c r="I96" s="5"/>
    </row>
    <row r="97" spans="1:9" x14ac:dyDescent="0.25">
      <c r="A97" s="7"/>
      <c r="B97" s="8">
        <f>IF(C97="","",IF(ISNUMBER(MATCH(C97,Insumos!$A:$A,0)),"insumo",IF(ISNUMBER(MATCH(C97,Preparos!$A:$A,0)),"preparo","")))</f>
      </c>
      <c r="C97" s="7"/>
      <c r="D97" s="7"/>
      <c r="E97" s="8">
        <f>IF(C97="","",IFERROR(VLOOKUP(C97,Insumos!$A:$I,9,FALSE),IFERROR(VLOOKUP(C97,Preparos!$A:$D,4,FALSE),"")))</f>
      </c>
      <c r="F97" s="8">
        <f>IF(C97="","",IFERROR(VLOOKUP(C97,Insumos!$A:$G,7,FALSE),100))</f>
      </c>
      <c r="G97" s="9">
        <f>IF(C97="","",IFERROR(VLOOKUP(C97,Insumos!$A:$J,10,FALSE),IFERROR(VLOOKUP(C97,Preparos!$A:$F,6,FALSE),0)))</f>
      </c>
      <c r="H97" s="10">
        <f>IF(OR(D97="",G97="",F97=0),"",D97*G97*(100/F97))</f>
      </c>
      <c r="I97" s="5"/>
    </row>
    <row r="98" spans="1:9" x14ac:dyDescent="0.25">
      <c r="A98" s="7"/>
      <c r="B98" s="8">
        <f>IF(C98="","",IF(ISNUMBER(MATCH(C98,Insumos!$A:$A,0)),"insumo",IF(ISNUMBER(MATCH(C98,Preparos!$A:$A,0)),"preparo","")))</f>
      </c>
      <c r="C98" s="7"/>
      <c r="D98" s="7"/>
      <c r="E98" s="8">
        <f>IF(C98="","",IFERROR(VLOOKUP(C98,Insumos!$A:$I,9,FALSE),IFERROR(VLOOKUP(C98,Preparos!$A:$D,4,FALSE),"")))</f>
      </c>
      <c r="F98" s="8">
        <f>IF(C98="","",IFERROR(VLOOKUP(C98,Insumos!$A:$G,7,FALSE),100))</f>
      </c>
      <c r="G98" s="9">
        <f>IF(C98="","",IFERROR(VLOOKUP(C98,Insumos!$A:$J,10,FALSE),IFERROR(VLOOKUP(C98,Preparos!$A:$F,6,FALSE),0)))</f>
      </c>
      <c r="H98" s="10">
        <f>IF(OR(D98="",G98="",F98=0),"",D98*G98*(100/F98))</f>
      </c>
      <c r="I98" s="5"/>
    </row>
    <row r="99" spans="1:9" x14ac:dyDescent="0.25">
      <c r="A99" s="7"/>
      <c r="B99" s="8">
        <f>IF(C99="","",IF(ISNUMBER(MATCH(C99,Insumos!$A:$A,0)),"insumo",IF(ISNUMBER(MATCH(C99,Preparos!$A:$A,0)),"preparo","")))</f>
      </c>
      <c r="C99" s="7"/>
      <c r="D99" s="7"/>
      <c r="E99" s="8">
        <f>IF(C99="","",IFERROR(VLOOKUP(C99,Insumos!$A:$I,9,FALSE),IFERROR(VLOOKUP(C99,Preparos!$A:$D,4,FALSE),"")))</f>
      </c>
      <c r="F99" s="8">
        <f>IF(C99="","",IFERROR(VLOOKUP(C99,Insumos!$A:$G,7,FALSE),100))</f>
      </c>
      <c r="G99" s="9">
        <f>IF(C99="","",IFERROR(VLOOKUP(C99,Insumos!$A:$J,10,FALSE),IFERROR(VLOOKUP(C99,Preparos!$A:$F,6,FALSE),0)))</f>
      </c>
      <c r="H99" s="10">
        <f>IF(OR(D99="",G99="",F99=0),"",D99*G99*(100/F99))</f>
      </c>
      <c r="I99" s="5"/>
    </row>
    <row r="100" spans="1:9" x14ac:dyDescent="0.25">
      <c r="A100" s="7"/>
      <c r="B100" s="8">
        <f>IF(C100="","",IF(ISNUMBER(MATCH(C100,Insumos!$A:$A,0)),"insumo",IF(ISNUMBER(MATCH(C100,Preparos!$A:$A,0)),"preparo","")))</f>
      </c>
      <c r="C100" s="7"/>
      <c r="D100" s="7"/>
      <c r="E100" s="8">
        <f>IF(C100="","",IFERROR(VLOOKUP(C100,Insumos!$A:$I,9,FALSE),IFERROR(VLOOKUP(C100,Preparos!$A:$D,4,FALSE),"")))</f>
      </c>
      <c r="F100" s="8">
        <f>IF(C100="","",IFERROR(VLOOKUP(C100,Insumos!$A:$G,7,FALSE),100))</f>
      </c>
      <c r="G100" s="9">
        <f>IF(C100="","",IFERROR(VLOOKUP(C100,Insumos!$A:$J,10,FALSE),IFERROR(VLOOKUP(C100,Preparos!$A:$F,6,FALSE),0)))</f>
      </c>
      <c r="H100" s="10">
        <f>IF(OR(D100="",G100="",F100=0),"",D100*G100*(100/F100))</f>
      </c>
      <c r="I100" s="5"/>
    </row>
    <row r="101" spans="1:9" x14ac:dyDescent="0.25">
      <c r="A101" s="7"/>
      <c r="B101" s="8">
        <f>IF(C101="","",IF(ISNUMBER(MATCH(C101,Insumos!$A:$A,0)),"insumo",IF(ISNUMBER(MATCH(C101,Preparos!$A:$A,0)),"preparo","")))</f>
      </c>
      <c r="C101" s="7"/>
      <c r="D101" s="7"/>
      <c r="E101" s="8">
        <f>IF(C101="","",IFERROR(VLOOKUP(C101,Insumos!$A:$I,9,FALSE),IFERROR(VLOOKUP(C101,Preparos!$A:$D,4,FALSE),"")))</f>
      </c>
      <c r="F101" s="8">
        <f>IF(C101="","",IFERROR(VLOOKUP(C101,Insumos!$A:$G,7,FALSE),100))</f>
      </c>
      <c r="G101" s="9">
        <f>IF(C101="","",IFERROR(VLOOKUP(C101,Insumos!$A:$J,10,FALSE),IFERROR(VLOOKUP(C101,Preparos!$A:$F,6,FALSE),0)))</f>
      </c>
      <c r="H101" s="10">
        <f>IF(OR(D101="",G101="",F101=0),"",D101*G101*(100/F101))</f>
      </c>
      <c r="I101" s="5"/>
    </row>
    <row r="102" spans="1:9" x14ac:dyDescent="0.25">
      <c r="A102" s="7"/>
      <c r="B102" s="8">
        <f>IF(C102="","",IF(ISNUMBER(MATCH(C102,Insumos!$A:$A,0)),"insumo",IF(ISNUMBER(MATCH(C102,Preparos!$A:$A,0)),"preparo","")))</f>
      </c>
      <c r="C102" s="7"/>
      <c r="D102" s="7"/>
      <c r="E102" s="8">
        <f>IF(C102="","",IFERROR(VLOOKUP(C102,Insumos!$A:$I,9,FALSE),IFERROR(VLOOKUP(C102,Preparos!$A:$D,4,FALSE),"")))</f>
      </c>
      <c r="F102" s="8">
        <f>IF(C102="","",IFERROR(VLOOKUP(C102,Insumos!$A:$G,7,FALSE),100))</f>
      </c>
      <c r="G102" s="9">
        <f>IF(C102="","",IFERROR(VLOOKUP(C102,Insumos!$A:$J,10,FALSE),IFERROR(VLOOKUP(C102,Preparos!$A:$F,6,FALSE),0)))</f>
      </c>
      <c r="H102" s="10">
        <f>IF(OR(D102="",G102="",F102=0),"",D102*G102*(100/F102))</f>
      </c>
      <c r="I102" s="5"/>
    </row>
    <row r="103" spans="1:9" x14ac:dyDescent="0.25">
      <c r="A103" s="7"/>
      <c r="B103" s="8">
        <f>IF(C103="","",IF(ISNUMBER(MATCH(C103,Insumos!$A:$A,0)),"insumo",IF(ISNUMBER(MATCH(C103,Preparos!$A:$A,0)),"preparo","")))</f>
      </c>
      <c r="C103" s="7"/>
      <c r="D103" s="7"/>
      <c r="E103" s="8">
        <f>IF(C103="","",IFERROR(VLOOKUP(C103,Insumos!$A:$I,9,FALSE),IFERROR(VLOOKUP(C103,Preparos!$A:$D,4,FALSE),"")))</f>
      </c>
      <c r="F103" s="8">
        <f>IF(C103="","",IFERROR(VLOOKUP(C103,Insumos!$A:$G,7,FALSE),100))</f>
      </c>
      <c r="G103" s="9">
        <f>IF(C103="","",IFERROR(VLOOKUP(C103,Insumos!$A:$J,10,FALSE),IFERROR(VLOOKUP(C103,Preparos!$A:$F,6,FALSE),0)))</f>
      </c>
      <c r="H103" s="10">
        <f>IF(OR(D103="",G103="",F103=0),"",D103*G103*(100/F103))</f>
      </c>
      <c r="I103" s="5"/>
    </row>
    <row r="104" spans="1:9" x14ac:dyDescent="0.25">
      <c r="A104" s="7"/>
      <c r="B104" s="8">
        <f>IF(C104="","",IF(ISNUMBER(MATCH(C104,Insumos!$A:$A,0)),"insumo",IF(ISNUMBER(MATCH(C104,Preparos!$A:$A,0)),"preparo","")))</f>
      </c>
      <c r="C104" s="7"/>
      <c r="D104" s="7"/>
      <c r="E104" s="8">
        <f>IF(C104="","",IFERROR(VLOOKUP(C104,Insumos!$A:$I,9,FALSE),IFERROR(VLOOKUP(C104,Preparos!$A:$D,4,FALSE),"")))</f>
      </c>
      <c r="F104" s="8">
        <f>IF(C104="","",IFERROR(VLOOKUP(C104,Insumos!$A:$G,7,FALSE),100))</f>
      </c>
      <c r="G104" s="9">
        <f>IF(C104="","",IFERROR(VLOOKUP(C104,Insumos!$A:$J,10,FALSE),IFERROR(VLOOKUP(C104,Preparos!$A:$F,6,FALSE),0)))</f>
      </c>
      <c r="H104" s="10">
        <f>IF(OR(D104="",G104="",F104=0),"",D104*G104*(100/F104))</f>
      </c>
      <c r="I104" s="5"/>
    </row>
    <row r="105" spans="1:9" x14ac:dyDescent="0.25">
      <c r="A105" s="7"/>
      <c r="B105" s="8">
        <f>IF(C105="","",IF(ISNUMBER(MATCH(C105,Insumos!$A:$A,0)),"insumo",IF(ISNUMBER(MATCH(C105,Preparos!$A:$A,0)),"preparo","")))</f>
      </c>
      <c r="C105" s="7"/>
      <c r="D105" s="7"/>
      <c r="E105" s="8">
        <f>IF(C105="","",IFERROR(VLOOKUP(C105,Insumos!$A:$I,9,FALSE),IFERROR(VLOOKUP(C105,Preparos!$A:$D,4,FALSE),"")))</f>
      </c>
      <c r="F105" s="8">
        <f>IF(C105="","",IFERROR(VLOOKUP(C105,Insumos!$A:$G,7,FALSE),100))</f>
      </c>
      <c r="G105" s="9">
        <f>IF(C105="","",IFERROR(VLOOKUP(C105,Insumos!$A:$J,10,FALSE),IFERROR(VLOOKUP(C105,Preparos!$A:$F,6,FALSE),0)))</f>
      </c>
      <c r="H105" s="10">
        <f>IF(OR(D105="",G105="",F105=0),"",D105*G105*(100/F105))</f>
      </c>
      <c r="I105" s="5"/>
    </row>
    <row r="106" spans="1:9" x14ac:dyDescent="0.25">
      <c r="A106" s="7"/>
      <c r="B106" s="8">
        <f>IF(C106="","",IF(ISNUMBER(MATCH(C106,Insumos!$A:$A,0)),"insumo",IF(ISNUMBER(MATCH(C106,Preparos!$A:$A,0)),"preparo","")))</f>
      </c>
      <c r="C106" s="7"/>
      <c r="D106" s="7"/>
      <c r="E106" s="8">
        <f>IF(C106="","",IFERROR(VLOOKUP(C106,Insumos!$A:$I,9,FALSE),IFERROR(VLOOKUP(C106,Preparos!$A:$D,4,FALSE),"")))</f>
      </c>
      <c r="F106" s="8">
        <f>IF(C106="","",IFERROR(VLOOKUP(C106,Insumos!$A:$G,7,FALSE),100))</f>
      </c>
      <c r="G106" s="9">
        <f>IF(C106="","",IFERROR(VLOOKUP(C106,Insumos!$A:$J,10,FALSE),IFERROR(VLOOKUP(C106,Preparos!$A:$F,6,FALSE),0)))</f>
      </c>
      <c r="H106" s="10">
        <f>IF(OR(D106="",G106="",F106=0),"",D106*G106*(100/F106))</f>
      </c>
      <c r="I106" s="5"/>
    </row>
    <row r="107" spans="1:9" x14ac:dyDescent="0.25">
      <c r="A107" s="7"/>
      <c r="B107" s="8">
        <f>IF(C107="","",IF(ISNUMBER(MATCH(C107,Insumos!$A:$A,0)),"insumo",IF(ISNUMBER(MATCH(C107,Preparos!$A:$A,0)),"preparo","")))</f>
      </c>
      <c r="C107" s="7"/>
      <c r="D107" s="7"/>
      <c r="E107" s="8">
        <f>IF(C107="","",IFERROR(VLOOKUP(C107,Insumos!$A:$I,9,FALSE),IFERROR(VLOOKUP(C107,Preparos!$A:$D,4,FALSE),"")))</f>
      </c>
      <c r="F107" s="8">
        <f>IF(C107="","",IFERROR(VLOOKUP(C107,Insumos!$A:$G,7,FALSE),100))</f>
      </c>
      <c r="G107" s="9">
        <f>IF(C107="","",IFERROR(VLOOKUP(C107,Insumos!$A:$J,10,FALSE),IFERROR(VLOOKUP(C107,Preparos!$A:$F,6,FALSE),0)))</f>
      </c>
      <c r="H107" s="10">
        <f>IF(OR(D107="",G107="",F107=0),"",D107*G107*(100/F107))</f>
      </c>
      <c r="I107" s="5"/>
    </row>
    <row r="108" spans="1:9" x14ac:dyDescent="0.25">
      <c r="A108" s="7"/>
      <c r="B108" s="8">
        <f>IF(C108="","",IF(ISNUMBER(MATCH(C108,Insumos!$A:$A,0)),"insumo",IF(ISNUMBER(MATCH(C108,Preparos!$A:$A,0)),"preparo","")))</f>
      </c>
      <c r="C108" s="7"/>
      <c r="D108" s="7"/>
      <c r="E108" s="8">
        <f>IF(C108="","",IFERROR(VLOOKUP(C108,Insumos!$A:$I,9,FALSE),IFERROR(VLOOKUP(C108,Preparos!$A:$D,4,FALSE),"")))</f>
      </c>
      <c r="F108" s="8">
        <f>IF(C108="","",IFERROR(VLOOKUP(C108,Insumos!$A:$G,7,FALSE),100))</f>
      </c>
      <c r="G108" s="9">
        <f>IF(C108="","",IFERROR(VLOOKUP(C108,Insumos!$A:$J,10,FALSE),IFERROR(VLOOKUP(C108,Preparos!$A:$F,6,FALSE),0)))</f>
      </c>
      <c r="H108" s="10">
        <f>IF(OR(D108="",G108="",F108=0),"",D108*G108*(100/F108))</f>
      </c>
      <c r="I108" s="5"/>
    </row>
    <row r="109" spans="1:9" x14ac:dyDescent="0.25">
      <c r="A109" s="7"/>
      <c r="B109" s="8">
        <f>IF(C109="","",IF(ISNUMBER(MATCH(C109,Insumos!$A:$A,0)),"insumo",IF(ISNUMBER(MATCH(C109,Preparos!$A:$A,0)),"preparo","")))</f>
      </c>
      <c r="C109" s="7"/>
      <c r="D109" s="7"/>
      <c r="E109" s="8">
        <f>IF(C109="","",IFERROR(VLOOKUP(C109,Insumos!$A:$I,9,FALSE),IFERROR(VLOOKUP(C109,Preparos!$A:$D,4,FALSE),"")))</f>
      </c>
      <c r="F109" s="8">
        <f>IF(C109="","",IFERROR(VLOOKUP(C109,Insumos!$A:$G,7,FALSE),100))</f>
      </c>
      <c r="G109" s="9">
        <f>IF(C109="","",IFERROR(VLOOKUP(C109,Insumos!$A:$J,10,FALSE),IFERROR(VLOOKUP(C109,Preparos!$A:$F,6,FALSE),0)))</f>
      </c>
      <c r="H109" s="10">
        <f>IF(OR(D109="",G109="",F109=0),"",D109*G109*(100/F109))</f>
      </c>
      <c r="I109" s="5"/>
    </row>
    <row r="110" spans="1:9" x14ac:dyDescent="0.25">
      <c r="A110" s="7"/>
      <c r="B110" s="8">
        <f>IF(C110="","",IF(ISNUMBER(MATCH(C110,Insumos!$A:$A,0)),"insumo",IF(ISNUMBER(MATCH(C110,Preparos!$A:$A,0)),"preparo","")))</f>
      </c>
      <c r="C110" s="7"/>
      <c r="D110" s="7"/>
      <c r="E110" s="8">
        <f>IF(C110="","",IFERROR(VLOOKUP(C110,Insumos!$A:$I,9,FALSE),IFERROR(VLOOKUP(C110,Preparos!$A:$D,4,FALSE),"")))</f>
      </c>
      <c r="F110" s="8">
        <f>IF(C110="","",IFERROR(VLOOKUP(C110,Insumos!$A:$G,7,FALSE),100))</f>
      </c>
      <c r="G110" s="9">
        <f>IF(C110="","",IFERROR(VLOOKUP(C110,Insumos!$A:$J,10,FALSE),IFERROR(VLOOKUP(C110,Preparos!$A:$F,6,FALSE),0)))</f>
      </c>
      <c r="H110" s="10">
        <f>IF(OR(D110="",G110="",F110=0),"",D110*G110*(100/F110))</f>
      </c>
      <c r="I110" s="5"/>
    </row>
    <row r="111" spans="1:9" x14ac:dyDescent="0.25">
      <c r="A111" s="7"/>
      <c r="B111" s="8">
        <f>IF(C111="","",IF(ISNUMBER(MATCH(C111,Insumos!$A:$A,0)),"insumo",IF(ISNUMBER(MATCH(C111,Preparos!$A:$A,0)),"preparo","")))</f>
      </c>
      <c r="C111" s="7"/>
      <c r="D111" s="7"/>
      <c r="E111" s="8">
        <f>IF(C111="","",IFERROR(VLOOKUP(C111,Insumos!$A:$I,9,FALSE),IFERROR(VLOOKUP(C111,Preparos!$A:$D,4,FALSE),"")))</f>
      </c>
      <c r="F111" s="8">
        <f>IF(C111="","",IFERROR(VLOOKUP(C111,Insumos!$A:$G,7,FALSE),100))</f>
      </c>
      <c r="G111" s="9">
        <f>IF(C111="","",IFERROR(VLOOKUP(C111,Insumos!$A:$J,10,FALSE),IFERROR(VLOOKUP(C111,Preparos!$A:$F,6,FALSE),0)))</f>
      </c>
      <c r="H111" s="10">
        <f>IF(OR(D111="",G111="",F111=0),"",D111*G111*(100/F111))</f>
      </c>
      <c r="I111" s="5"/>
    </row>
    <row r="112" spans="1:9" x14ac:dyDescent="0.25">
      <c r="A112" s="7"/>
      <c r="B112" s="8">
        <f>IF(C112="","",IF(ISNUMBER(MATCH(C112,Insumos!$A:$A,0)),"insumo",IF(ISNUMBER(MATCH(C112,Preparos!$A:$A,0)),"preparo","")))</f>
      </c>
      <c r="C112" s="7"/>
      <c r="D112" s="7"/>
      <c r="E112" s="8">
        <f>IF(C112="","",IFERROR(VLOOKUP(C112,Insumos!$A:$I,9,FALSE),IFERROR(VLOOKUP(C112,Preparos!$A:$D,4,FALSE),"")))</f>
      </c>
      <c r="F112" s="8">
        <f>IF(C112="","",IFERROR(VLOOKUP(C112,Insumos!$A:$G,7,FALSE),100))</f>
      </c>
      <c r="G112" s="9">
        <f>IF(C112="","",IFERROR(VLOOKUP(C112,Insumos!$A:$J,10,FALSE),IFERROR(VLOOKUP(C112,Preparos!$A:$F,6,FALSE),0)))</f>
      </c>
      <c r="H112" s="10">
        <f>IF(OR(D112="",G112="",F112=0),"",D112*G112*(100/F112))</f>
      </c>
      <c r="I112" s="5"/>
    </row>
    <row r="113" spans="1:9" x14ac:dyDescent="0.25">
      <c r="A113" s="7"/>
      <c r="B113" s="8">
        <f>IF(C113="","",IF(ISNUMBER(MATCH(C113,Insumos!$A:$A,0)),"insumo",IF(ISNUMBER(MATCH(C113,Preparos!$A:$A,0)),"preparo","")))</f>
      </c>
      <c r="C113" s="7"/>
      <c r="D113" s="7"/>
      <c r="E113" s="8">
        <f>IF(C113="","",IFERROR(VLOOKUP(C113,Insumos!$A:$I,9,FALSE),IFERROR(VLOOKUP(C113,Preparos!$A:$D,4,FALSE),"")))</f>
      </c>
      <c r="F113" s="8">
        <f>IF(C113="","",IFERROR(VLOOKUP(C113,Insumos!$A:$G,7,FALSE),100))</f>
      </c>
      <c r="G113" s="9">
        <f>IF(C113="","",IFERROR(VLOOKUP(C113,Insumos!$A:$J,10,FALSE),IFERROR(VLOOKUP(C113,Preparos!$A:$F,6,FALSE),0)))</f>
      </c>
      <c r="H113" s="10">
        <f>IF(OR(D113="",G113="",F113=0),"",D113*G113*(100/F113))</f>
      </c>
      <c r="I113" s="5"/>
    </row>
    <row r="114" spans="1:9" x14ac:dyDescent="0.25">
      <c r="A114" s="7"/>
      <c r="B114" s="8">
        <f>IF(C114="","",IF(ISNUMBER(MATCH(C114,Insumos!$A:$A,0)),"insumo",IF(ISNUMBER(MATCH(C114,Preparos!$A:$A,0)),"preparo","")))</f>
      </c>
      <c r="C114" s="7"/>
      <c r="D114" s="7"/>
      <c r="E114" s="8">
        <f>IF(C114="","",IFERROR(VLOOKUP(C114,Insumos!$A:$I,9,FALSE),IFERROR(VLOOKUP(C114,Preparos!$A:$D,4,FALSE),"")))</f>
      </c>
      <c r="F114" s="8">
        <f>IF(C114="","",IFERROR(VLOOKUP(C114,Insumos!$A:$G,7,FALSE),100))</f>
      </c>
      <c r="G114" s="9">
        <f>IF(C114="","",IFERROR(VLOOKUP(C114,Insumos!$A:$J,10,FALSE),IFERROR(VLOOKUP(C114,Preparos!$A:$F,6,FALSE),0)))</f>
      </c>
      <c r="H114" s="10">
        <f>IF(OR(D114="",G114="",F114=0),"",D114*G114*(100/F114))</f>
      </c>
      <c r="I114" s="5"/>
    </row>
    <row r="115" spans="1:9" x14ac:dyDescent="0.25">
      <c r="A115" s="7"/>
      <c r="B115" s="8">
        <f>IF(C115="","",IF(ISNUMBER(MATCH(C115,Insumos!$A:$A,0)),"insumo",IF(ISNUMBER(MATCH(C115,Preparos!$A:$A,0)),"preparo","")))</f>
      </c>
      <c r="C115" s="7"/>
      <c r="D115" s="7"/>
      <c r="E115" s="8">
        <f>IF(C115="","",IFERROR(VLOOKUP(C115,Insumos!$A:$I,9,FALSE),IFERROR(VLOOKUP(C115,Preparos!$A:$D,4,FALSE),"")))</f>
      </c>
      <c r="F115" s="8">
        <f>IF(C115="","",IFERROR(VLOOKUP(C115,Insumos!$A:$G,7,FALSE),100))</f>
      </c>
      <c r="G115" s="9">
        <f>IF(C115="","",IFERROR(VLOOKUP(C115,Insumos!$A:$J,10,FALSE),IFERROR(VLOOKUP(C115,Preparos!$A:$F,6,FALSE),0)))</f>
      </c>
      <c r="H115" s="10">
        <f>IF(OR(D115="",G115="",F115=0),"",D115*G115*(100/F115))</f>
      </c>
      <c r="I115" s="5"/>
    </row>
    <row r="116" spans="1:9" x14ac:dyDescent="0.25">
      <c r="A116" s="7"/>
      <c r="B116" s="8">
        <f>IF(C116="","",IF(ISNUMBER(MATCH(C116,Insumos!$A:$A,0)),"insumo",IF(ISNUMBER(MATCH(C116,Preparos!$A:$A,0)),"preparo","")))</f>
      </c>
      <c r="C116" s="7"/>
      <c r="D116" s="7"/>
      <c r="E116" s="8">
        <f>IF(C116="","",IFERROR(VLOOKUP(C116,Insumos!$A:$I,9,FALSE),IFERROR(VLOOKUP(C116,Preparos!$A:$D,4,FALSE),"")))</f>
      </c>
      <c r="F116" s="8">
        <f>IF(C116="","",IFERROR(VLOOKUP(C116,Insumos!$A:$G,7,FALSE),100))</f>
      </c>
      <c r="G116" s="9">
        <f>IF(C116="","",IFERROR(VLOOKUP(C116,Insumos!$A:$J,10,FALSE),IFERROR(VLOOKUP(C116,Preparos!$A:$F,6,FALSE),0)))</f>
      </c>
      <c r="H116" s="10">
        <f>IF(OR(D116="",G116="",F116=0),"",D116*G116*(100/F116))</f>
      </c>
      <c r="I116" s="5"/>
    </row>
    <row r="117" spans="1:9" x14ac:dyDescent="0.25">
      <c r="A117" s="7"/>
      <c r="B117" s="8">
        <f>IF(C117="","",IF(ISNUMBER(MATCH(C117,Insumos!$A:$A,0)),"insumo",IF(ISNUMBER(MATCH(C117,Preparos!$A:$A,0)),"preparo","")))</f>
      </c>
      <c r="C117" s="7"/>
      <c r="D117" s="7"/>
      <c r="E117" s="8">
        <f>IF(C117="","",IFERROR(VLOOKUP(C117,Insumos!$A:$I,9,FALSE),IFERROR(VLOOKUP(C117,Preparos!$A:$D,4,FALSE),"")))</f>
      </c>
      <c r="F117" s="8">
        <f>IF(C117="","",IFERROR(VLOOKUP(C117,Insumos!$A:$G,7,FALSE),100))</f>
      </c>
      <c r="G117" s="9">
        <f>IF(C117="","",IFERROR(VLOOKUP(C117,Insumos!$A:$J,10,FALSE),IFERROR(VLOOKUP(C117,Preparos!$A:$F,6,FALSE),0)))</f>
      </c>
      <c r="H117" s="10">
        <f>IF(OR(D117="",G117="",F117=0),"",D117*G117*(100/F117))</f>
      </c>
      <c r="I117" s="5"/>
    </row>
    <row r="118" spans="1:9" x14ac:dyDescent="0.25">
      <c r="A118" s="7"/>
      <c r="B118" s="8">
        <f>IF(C118="","",IF(ISNUMBER(MATCH(C118,Insumos!$A:$A,0)),"insumo",IF(ISNUMBER(MATCH(C118,Preparos!$A:$A,0)),"preparo","")))</f>
      </c>
      <c r="C118" s="7"/>
      <c r="D118" s="7"/>
      <c r="E118" s="8">
        <f>IF(C118="","",IFERROR(VLOOKUP(C118,Insumos!$A:$I,9,FALSE),IFERROR(VLOOKUP(C118,Preparos!$A:$D,4,FALSE),"")))</f>
      </c>
      <c r="F118" s="8">
        <f>IF(C118="","",IFERROR(VLOOKUP(C118,Insumos!$A:$G,7,FALSE),100))</f>
      </c>
      <c r="G118" s="9">
        <f>IF(C118="","",IFERROR(VLOOKUP(C118,Insumos!$A:$J,10,FALSE),IFERROR(VLOOKUP(C118,Preparos!$A:$F,6,FALSE),0)))</f>
      </c>
      <c r="H118" s="10">
        <f>IF(OR(D118="",G118="",F118=0),"",D118*G118*(100/F118))</f>
      </c>
      <c r="I118" s="5"/>
    </row>
    <row r="119" spans="1:9" x14ac:dyDescent="0.25">
      <c r="A119" s="7"/>
      <c r="B119" s="8">
        <f>IF(C119="","",IF(ISNUMBER(MATCH(C119,Insumos!$A:$A,0)),"insumo",IF(ISNUMBER(MATCH(C119,Preparos!$A:$A,0)),"preparo","")))</f>
      </c>
      <c r="C119" s="7"/>
      <c r="D119" s="7"/>
      <c r="E119" s="8">
        <f>IF(C119="","",IFERROR(VLOOKUP(C119,Insumos!$A:$I,9,FALSE),IFERROR(VLOOKUP(C119,Preparos!$A:$D,4,FALSE),"")))</f>
      </c>
      <c r="F119" s="8">
        <f>IF(C119="","",IFERROR(VLOOKUP(C119,Insumos!$A:$G,7,FALSE),100))</f>
      </c>
      <c r="G119" s="9">
        <f>IF(C119="","",IFERROR(VLOOKUP(C119,Insumos!$A:$J,10,FALSE),IFERROR(VLOOKUP(C119,Preparos!$A:$F,6,FALSE),0)))</f>
      </c>
      <c r="H119" s="10">
        <f>IF(OR(D119="",G119="",F119=0),"",D119*G119*(100/F119))</f>
      </c>
      <c r="I119" s="5"/>
    </row>
    <row r="120" spans="1:9" x14ac:dyDescent="0.25">
      <c r="A120" s="7"/>
      <c r="B120" s="8">
        <f>IF(C120="","",IF(ISNUMBER(MATCH(C120,Insumos!$A:$A,0)),"insumo",IF(ISNUMBER(MATCH(C120,Preparos!$A:$A,0)),"preparo","")))</f>
      </c>
      <c r="C120" s="7"/>
      <c r="D120" s="7"/>
      <c r="E120" s="8">
        <f>IF(C120="","",IFERROR(VLOOKUP(C120,Insumos!$A:$I,9,FALSE),IFERROR(VLOOKUP(C120,Preparos!$A:$D,4,FALSE),"")))</f>
      </c>
      <c r="F120" s="8">
        <f>IF(C120="","",IFERROR(VLOOKUP(C120,Insumos!$A:$G,7,FALSE),100))</f>
      </c>
      <c r="G120" s="9">
        <f>IF(C120="","",IFERROR(VLOOKUP(C120,Insumos!$A:$J,10,FALSE),IFERROR(VLOOKUP(C120,Preparos!$A:$F,6,FALSE),0)))</f>
      </c>
      <c r="H120" s="10">
        <f>IF(OR(D120="",G120="",F120=0),"",D120*G120*(100/F120))</f>
      </c>
      <c r="I120" s="5"/>
    </row>
    <row r="121" spans="1:9" x14ac:dyDescent="0.25">
      <c r="A121" s="7"/>
      <c r="B121" s="8">
        <f>IF(C121="","",IF(ISNUMBER(MATCH(C121,Insumos!$A:$A,0)),"insumo",IF(ISNUMBER(MATCH(C121,Preparos!$A:$A,0)),"preparo","")))</f>
      </c>
      <c r="C121" s="7"/>
      <c r="D121" s="7"/>
      <c r="E121" s="8">
        <f>IF(C121="","",IFERROR(VLOOKUP(C121,Insumos!$A:$I,9,FALSE),IFERROR(VLOOKUP(C121,Preparos!$A:$D,4,FALSE),"")))</f>
      </c>
      <c r="F121" s="8">
        <f>IF(C121="","",IFERROR(VLOOKUP(C121,Insumos!$A:$G,7,FALSE),100))</f>
      </c>
      <c r="G121" s="9">
        <f>IF(C121="","",IFERROR(VLOOKUP(C121,Insumos!$A:$J,10,FALSE),IFERROR(VLOOKUP(C121,Preparos!$A:$F,6,FALSE),0)))</f>
      </c>
      <c r="H121" s="10">
        <f>IF(OR(D121="",G121="",F121=0),"",D121*G121*(100/F121))</f>
      </c>
      <c r="I121" s="5"/>
    </row>
    <row r="122" spans="1:9" x14ac:dyDescent="0.25">
      <c r="A122" s="7"/>
      <c r="B122" s="8">
        <f>IF(C122="","",IF(ISNUMBER(MATCH(C122,Insumos!$A:$A,0)),"insumo",IF(ISNUMBER(MATCH(C122,Preparos!$A:$A,0)),"preparo","")))</f>
      </c>
      <c r="C122" s="7"/>
      <c r="D122" s="7"/>
      <c r="E122" s="8">
        <f>IF(C122="","",IFERROR(VLOOKUP(C122,Insumos!$A:$I,9,FALSE),IFERROR(VLOOKUP(C122,Preparos!$A:$D,4,FALSE),"")))</f>
      </c>
      <c r="F122" s="8">
        <f>IF(C122="","",IFERROR(VLOOKUP(C122,Insumos!$A:$G,7,FALSE),100))</f>
      </c>
      <c r="G122" s="9">
        <f>IF(C122="","",IFERROR(VLOOKUP(C122,Insumos!$A:$J,10,FALSE),IFERROR(VLOOKUP(C122,Preparos!$A:$F,6,FALSE),0)))</f>
      </c>
      <c r="H122" s="10">
        <f>IF(OR(D122="",G122="",F122=0),"",D122*G122*(100/F122))</f>
      </c>
      <c r="I122" s="5"/>
    </row>
    <row r="123" spans="1:9" x14ac:dyDescent="0.25">
      <c r="A123" s="7"/>
      <c r="B123" s="8">
        <f>IF(C123="","",IF(ISNUMBER(MATCH(C123,Insumos!$A:$A,0)),"insumo",IF(ISNUMBER(MATCH(C123,Preparos!$A:$A,0)),"preparo","")))</f>
      </c>
      <c r="C123" s="7"/>
      <c r="D123" s="7"/>
      <c r="E123" s="8">
        <f>IF(C123="","",IFERROR(VLOOKUP(C123,Insumos!$A:$I,9,FALSE),IFERROR(VLOOKUP(C123,Preparos!$A:$D,4,FALSE),"")))</f>
      </c>
      <c r="F123" s="8">
        <f>IF(C123="","",IFERROR(VLOOKUP(C123,Insumos!$A:$G,7,FALSE),100))</f>
      </c>
      <c r="G123" s="9">
        <f>IF(C123="","",IFERROR(VLOOKUP(C123,Insumos!$A:$J,10,FALSE),IFERROR(VLOOKUP(C123,Preparos!$A:$F,6,FALSE),0)))</f>
      </c>
      <c r="H123" s="10">
        <f>IF(OR(D123="",G123="",F123=0),"",D123*G123*(100/F123))</f>
      </c>
      <c r="I123" s="5"/>
    </row>
    <row r="124" spans="1:9" x14ac:dyDescent="0.25">
      <c r="A124" s="7"/>
      <c r="B124" s="8">
        <f>IF(C124="","",IF(ISNUMBER(MATCH(C124,Insumos!$A:$A,0)),"insumo",IF(ISNUMBER(MATCH(C124,Preparos!$A:$A,0)),"preparo","")))</f>
      </c>
      <c r="C124" s="7"/>
      <c r="D124" s="7"/>
      <c r="E124" s="8">
        <f>IF(C124="","",IFERROR(VLOOKUP(C124,Insumos!$A:$I,9,FALSE),IFERROR(VLOOKUP(C124,Preparos!$A:$D,4,FALSE),"")))</f>
      </c>
      <c r="F124" s="8">
        <f>IF(C124="","",IFERROR(VLOOKUP(C124,Insumos!$A:$G,7,FALSE),100))</f>
      </c>
      <c r="G124" s="9">
        <f>IF(C124="","",IFERROR(VLOOKUP(C124,Insumos!$A:$J,10,FALSE),IFERROR(VLOOKUP(C124,Preparos!$A:$F,6,FALSE),0)))</f>
      </c>
      <c r="H124" s="10">
        <f>IF(OR(D124="",G124="",F124=0),"",D124*G124*(100/F124))</f>
      </c>
      <c r="I124" s="5"/>
    </row>
    <row r="125" spans="1:9" x14ac:dyDescent="0.25">
      <c r="A125" s="7"/>
      <c r="B125" s="8">
        <f>IF(C125="","",IF(ISNUMBER(MATCH(C125,Insumos!$A:$A,0)),"insumo",IF(ISNUMBER(MATCH(C125,Preparos!$A:$A,0)),"preparo","")))</f>
      </c>
      <c r="C125" s="7"/>
      <c r="D125" s="7"/>
      <c r="E125" s="8">
        <f>IF(C125="","",IFERROR(VLOOKUP(C125,Insumos!$A:$I,9,FALSE),IFERROR(VLOOKUP(C125,Preparos!$A:$D,4,FALSE),"")))</f>
      </c>
      <c r="F125" s="8">
        <f>IF(C125="","",IFERROR(VLOOKUP(C125,Insumos!$A:$G,7,FALSE),100))</f>
      </c>
      <c r="G125" s="9">
        <f>IF(C125="","",IFERROR(VLOOKUP(C125,Insumos!$A:$J,10,FALSE),IFERROR(VLOOKUP(C125,Preparos!$A:$F,6,FALSE),0)))</f>
      </c>
      <c r="H125" s="10">
        <f>IF(OR(D125="",G125="",F125=0),"",D125*G125*(100/F125))</f>
      </c>
      <c r="I125" s="5"/>
    </row>
    <row r="126" spans="1:9" x14ac:dyDescent="0.25">
      <c r="A126" s="7"/>
      <c r="B126" s="8">
        <f>IF(C126="","",IF(ISNUMBER(MATCH(C126,Insumos!$A:$A,0)),"insumo",IF(ISNUMBER(MATCH(C126,Preparos!$A:$A,0)),"preparo","")))</f>
      </c>
      <c r="C126" s="7"/>
      <c r="D126" s="7"/>
      <c r="E126" s="8">
        <f>IF(C126="","",IFERROR(VLOOKUP(C126,Insumos!$A:$I,9,FALSE),IFERROR(VLOOKUP(C126,Preparos!$A:$D,4,FALSE),"")))</f>
      </c>
      <c r="F126" s="8">
        <f>IF(C126="","",IFERROR(VLOOKUP(C126,Insumos!$A:$G,7,FALSE),100))</f>
      </c>
      <c r="G126" s="9">
        <f>IF(C126="","",IFERROR(VLOOKUP(C126,Insumos!$A:$J,10,FALSE),IFERROR(VLOOKUP(C126,Preparos!$A:$F,6,FALSE),0)))</f>
      </c>
      <c r="H126" s="10">
        <f>IF(OR(D126="",G126="",F126=0),"",D126*G126*(100/F126))</f>
      </c>
      <c r="I126" s="5"/>
    </row>
    <row r="127" spans="1:9" x14ac:dyDescent="0.25">
      <c r="A127" s="7"/>
      <c r="B127" s="8">
        <f>IF(C127="","",IF(ISNUMBER(MATCH(C127,Insumos!$A:$A,0)),"insumo",IF(ISNUMBER(MATCH(C127,Preparos!$A:$A,0)),"preparo","")))</f>
      </c>
      <c r="C127" s="7"/>
      <c r="D127" s="7"/>
      <c r="E127" s="8">
        <f>IF(C127="","",IFERROR(VLOOKUP(C127,Insumos!$A:$I,9,FALSE),IFERROR(VLOOKUP(C127,Preparos!$A:$D,4,FALSE),"")))</f>
      </c>
      <c r="F127" s="8">
        <f>IF(C127="","",IFERROR(VLOOKUP(C127,Insumos!$A:$G,7,FALSE),100))</f>
      </c>
      <c r="G127" s="9">
        <f>IF(C127="","",IFERROR(VLOOKUP(C127,Insumos!$A:$J,10,FALSE),IFERROR(VLOOKUP(C127,Preparos!$A:$F,6,FALSE),0)))</f>
      </c>
      <c r="H127" s="10">
        <f>IF(OR(D127="",G127="",F127=0),"",D127*G127*(100/F127))</f>
      </c>
      <c r="I127" s="5"/>
    </row>
    <row r="128" spans="1:9" x14ac:dyDescent="0.25">
      <c r="A128" s="7"/>
      <c r="B128" s="8">
        <f>IF(C128="","",IF(ISNUMBER(MATCH(C128,Insumos!$A:$A,0)),"insumo",IF(ISNUMBER(MATCH(C128,Preparos!$A:$A,0)),"preparo","")))</f>
      </c>
      <c r="C128" s="7"/>
      <c r="D128" s="7"/>
      <c r="E128" s="8">
        <f>IF(C128="","",IFERROR(VLOOKUP(C128,Insumos!$A:$I,9,FALSE),IFERROR(VLOOKUP(C128,Preparos!$A:$D,4,FALSE),"")))</f>
      </c>
      <c r="F128" s="8">
        <f>IF(C128="","",IFERROR(VLOOKUP(C128,Insumos!$A:$G,7,FALSE),100))</f>
      </c>
      <c r="G128" s="9">
        <f>IF(C128="","",IFERROR(VLOOKUP(C128,Insumos!$A:$J,10,FALSE),IFERROR(VLOOKUP(C128,Preparos!$A:$F,6,FALSE),0)))</f>
      </c>
      <c r="H128" s="10">
        <f>IF(OR(D128="",G128="",F128=0),"",D128*G128*(100/F128))</f>
      </c>
      <c r="I128" s="5"/>
    </row>
    <row r="129" spans="1:9" x14ac:dyDescent="0.25">
      <c r="A129" s="7"/>
      <c r="B129" s="8">
        <f>IF(C129="","",IF(ISNUMBER(MATCH(C129,Insumos!$A:$A,0)),"insumo",IF(ISNUMBER(MATCH(C129,Preparos!$A:$A,0)),"preparo","")))</f>
      </c>
      <c r="C129" s="7"/>
      <c r="D129" s="7"/>
      <c r="E129" s="8">
        <f>IF(C129="","",IFERROR(VLOOKUP(C129,Insumos!$A:$I,9,FALSE),IFERROR(VLOOKUP(C129,Preparos!$A:$D,4,FALSE),"")))</f>
      </c>
      <c r="F129" s="8">
        <f>IF(C129="","",IFERROR(VLOOKUP(C129,Insumos!$A:$G,7,FALSE),100))</f>
      </c>
      <c r="G129" s="9">
        <f>IF(C129="","",IFERROR(VLOOKUP(C129,Insumos!$A:$J,10,FALSE),IFERROR(VLOOKUP(C129,Preparos!$A:$F,6,FALSE),0)))</f>
      </c>
      <c r="H129" s="10">
        <f>IF(OR(D129="",G129="",F129=0),"",D129*G129*(100/F129))</f>
      </c>
      <c r="I129" s="5"/>
    </row>
    <row r="130" spans="1:9" x14ac:dyDescent="0.25">
      <c r="A130" s="7"/>
      <c r="B130" s="8">
        <f>IF(C130="","",IF(ISNUMBER(MATCH(C130,Insumos!$A:$A,0)),"insumo",IF(ISNUMBER(MATCH(C130,Preparos!$A:$A,0)),"preparo","")))</f>
      </c>
      <c r="C130" s="7"/>
      <c r="D130" s="7"/>
      <c r="E130" s="8">
        <f>IF(C130="","",IFERROR(VLOOKUP(C130,Insumos!$A:$I,9,FALSE),IFERROR(VLOOKUP(C130,Preparos!$A:$D,4,FALSE),"")))</f>
      </c>
      <c r="F130" s="8">
        <f>IF(C130="","",IFERROR(VLOOKUP(C130,Insumos!$A:$G,7,FALSE),100))</f>
      </c>
      <c r="G130" s="9">
        <f>IF(C130="","",IFERROR(VLOOKUP(C130,Insumos!$A:$J,10,FALSE),IFERROR(VLOOKUP(C130,Preparos!$A:$F,6,FALSE),0)))</f>
      </c>
      <c r="H130" s="10">
        <f>IF(OR(D130="",G130="",F130=0),"",D130*G130*(100/F130))</f>
      </c>
      <c r="I130" s="5"/>
    </row>
    <row r="131" spans="1:9" x14ac:dyDescent="0.25">
      <c r="A131" s="7"/>
      <c r="B131" s="8">
        <f>IF(C131="","",IF(ISNUMBER(MATCH(C131,Insumos!$A:$A,0)),"insumo",IF(ISNUMBER(MATCH(C131,Preparos!$A:$A,0)),"preparo","")))</f>
      </c>
      <c r="C131" s="7"/>
      <c r="D131" s="7"/>
      <c r="E131" s="8">
        <f>IF(C131="","",IFERROR(VLOOKUP(C131,Insumos!$A:$I,9,FALSE),IFERROR(VLOOKUP(C131,Preparos!$A:$D,4,FALSE),"")))</f>
      </c>
      <c r="F131" s="8">
        <f>IF(C131="","",IFERROR(VLOOKUP(C131,Insumos!$A:$G,7,FALSE),100))</f>
      </c>
      <c r="G131" s="9">
        <f>IF(C131="","",IFERROR(VLOOKUP(C131,Insumos!$A:$J,10,FALSE),IFERROR(VLOOKUP(C131,Preparos!$A:$F,6,FALSE),0)))</f>
      </c>
      <c r="H131" s="10">
        <f>IF(OR(D131="",G131="",F131=0),"",D131*G131*(100/F131))</f>
      </c>
      <c r="I131" s="5"/>
    </row>
    <row r="132" spans="1:9" x14ac:dyDescent="0.25">
      <c r="A132" s="7"/>
      <c r="B132" s="8">
        <f>IF(C132="","",IF(ISNUMBER(MATCH(C132,Insumos!$A:$A,0)),"insumo",IF(ISNUMBER(MATCH(C132,Preparos!$A:$A,0)),"preparo","")))</f>
      </c>
      <c r="C132" s="7"/>
      <c r="D132" s="7"/>
      <c r="E132" s="8">
        <f>IF(C132="","",IFERROR(VLOOKUP(C132,Insumos!$A:$I,9,FALSE),IFERROR(VLOOKUP(C132,Preparos!$A:$D,4,FALSE),"")))</f>
      </c>
      <c r="F132" s="8">
        <f>IF(C132="","",IFERROR(VLOOKUP(C132,Insumos!$A:$G,7,FALSE),100))</f>
      </c>
      <c r="G132" s="9">
        <f>IF(C132="","",IFERROR(VLOOKUP(C132,Insumos!$A:$J,10,FALSE),IFERROR(VLOOKUP(C132,Preparos!$A:$F,6,FALSE),0)))</f>
      </c>
      <c r="H132" s="10">
        <f>IF(OR(D132="",G132="",F132=0),"",D132*G132*(100/F132))</f>
      </c>
      <c r="I132" s="5"/>
    </row>
    <row r="133" spans="1:9" x14ac:dyDescent="0.25">
      <c r="A133" s="7"/>
      <c r="B133" s="8">
        <f>IF(C133="","",IF(ISNUMBER(MATCH(C133,Insumos!$A:$A,0)),"insumo",IF(ISNUMBER(MATCH(C133,Preparos!$A:$A,0)),"preparo","")))</f>
      </c>
      <c r="C133" s="7"/>
      <c r="D133" s="7"/>
      <c r="E133" s="8">
        <f>IF(C133="","",IFERROR(VLOOKUP(C133,Insumos!$A:$I,9,FALSE),IFERROR(VLOOKUP(C133,Preparos!$A:$D,4,FALSE),"")))</f>
      </c>
      <c r="F133" s="8">
        <f>IF(C133="","",IFERROR(VLOOKUP(C133,Insumos!$A:$G,7,FALSE),100))</f>
      </c>
      <c r="G133" s="9">
        <f>IF(C133="","",IFERROR(VLOOKUP(C133,Insumos!$A:$J,10,FALSE),IFERROR(VLOOKUP(C133,Preparos!$A:$F,6,FALSE),0)))</f>
      </c>
      <c r="H133" s="10">
        <f>IF(OR(D133="",G133="",F133=0),"",D133*G133*(100/F133))</f>
      </c>
      <c r="I133" s="5"/>
    </row>
    <row r="134" spans="1:9" x14ac:dyDescent="0.25">
      <c r="A134" s="7"/>
      <c r="B134" s="8">
        <f>IF(C134="","",IF(ISNUMBER(MATCH(C134,Insumos!$A:$A,0)),"insumo",IF(ISNUMBER(MATCH(C134,Preparos!$A:$A,0)),"preparo","")))</f>
      </c>
      <c r="C134" s="7"/>
      <c r="D134" s="7"/>
      <c r="E134" s="8">
        <f>IF(C134="","",IFERROR(VLOOKUP(C134,Insumos!$A:$I,9,FALSE),IFERROR(VLOOKUP(C134,Preparos!$A:$D,4,FALSE),"")))</f>
      </c>
      <c r="F134" s="8">
        <f>IF(C134="","",IFERROR(VLOOKUP(C134,Insumos!$A:$G,7,FALSE),100))</f>
      </c>
      <c r="G134" s="9">
        <f>IF(C134="","",IFERROR(VLOOKUP(C134,Insumos!$A:$J,10,FALSE),IFERROR(VLOOKUP(C134,Preparos!$A:$F,6,FALSE),0)))</f>
      </c>
      <c r="H134" s="10">
        <f>IF(OR(D134="",G134="",F134=0),"",D134*G134*(100/F134))</f>
      </c>
      <c r="I134" s="5"/>
    </row>
    <row r="135" spans="1:9" x14ac:dyDescent="0.25">
      <c r="A135" s="7"/>
      <c r="B135" s="8">
        <f>IF(C135="","",IF(ISNUMBER(MATCH(C135,Insumos!$A:$A,0)),"insumo",IF(ISNUMBER(MATCH(C135,Preparos!$A:$A,0)),"preparo","")))</f>
      </c>
      <c r="C135" s="7"/>
      <c r="D135" s="7"/>
      <c r="E135" s="8">
        <f>IF(C135="","",IFERROR(VLOOKUP(C135,Insumos!$A:$I,9,FALSE),IFERROR(VLOOKUP(C135,Preparos!$A:$D,4,FALSE),"")))</f>
      </c>
      <c r="F135" s="8">
        <f>IF(C135="","",IFERROR(VLOOKUP(C135,Insumos!$A:$G,7,FALSE),100))</f>
      </c>
      <c r="G135" s="9">
        <f>IF(C135="","",IFERROR(VLOOKUP(C135,Insumos!$A:$J,10,FALSE),IFERROR(VLOOKUP(C135,Preparos!$A:$F,6,FALSE),0)))</f>
      </c>
      <c r="H135" s="10">
        <f>IF(OR(D135="",G135="",F135=0),"",D135*G135*(100/F135))</f>
      </c>
      <c r="I135" s="5"/>
    </row>
    <row r="136" spans="1:9" x14ac:dyDescent="0.25">
      <c r="A136" s="7"/>
      <c r="B136" s="8">
        <f>IF(C136="","",IF(ISNUMBER(MATCH(C136,Insumos!$A:$A,0)),"insumo",IF(ISNUMBER(MATCH(C136,Preparos!$A:$A,0)),"preparo","")))</f>
      </c>
      <c r="C136" s="7"/>
      <c r="D136" s="7"/>
      <c r="E136" s="8">
        <f>IF(C136="","",IFERROR(VLOOKUP(C136,Insumos!$A:$I,9,FALSE),IFERROR(VLOOKUP(C136,Preparos!$A:$D,4,FALSE),"")))</f>
      </c>
      <c r="F136" s="8">
        <f>IF(C136="","",IFERROR(VLOOKUP(C136,Insumos!$A:$G,7,FALSE),100))</f>
      </c>
      <c r="G136" s="9">
        <f>IF(C136="","",IFERROR(VLOOKUP(C136,Insumos!$A:$J,10,FALSE),IFERROR(VLOOKUP(C136,Preparos!$A:$F,6,FALSE),0)))</f>
      </c>
      <c r="H136" s="10">
        <f>IF(OR(D136="",G136="",F136=0),"",D136*G136*(100/F136))</f>
      </c>
      <c r="I136" s="5"/>
    </row>
    <row r="137" spans="1:9" x14ac:dyDescent="0.25">
      <c r="A137" s="7"/>
      <c r="B137" s="8">
        <f>IF(C137="","",IF(ISNUMBER(MATCH(C137,Insumos!$A:$A,0)),"insumo",IF(ISNUMBER(MATCH(C137,Preparos!$A:$A,0)),"preparo","")))</f>
      </c>
      <c r="C137" s="7"/>
      <c r="D137" s="7"/>
      <c r="E137" s="8">
        <f>IF(C137="","",IFERROR(VLOOKUP(C137,Insumos!$A:$I,9,FALSE),IFERROR(VLOOKUP(C137,Preparos!$A:$D,4,FALSE),"")))</f>
      </c>
      <c r="F137" s="8">
        <f>IF(C137="","",IFERROR(VLOOKUP(C137,Insumos!$A:$G,7,FALSE),100))</f>
      </c>
      <c r="G137" s="9">
        <f>IF(C137="","",IFERROR(VLOOKUP(C137,Insumos!$A:$J,10,FALSE),IFERROR(VLOOKUP(C137,Preparos!$A:$F,6,FALSE),0)))</f>
      </c>
      <c r="H137" s="10">
        <f>IF(OR(D137="",G137="",F137=0),"",D137*G137*(100/F137))</f>
      </c>
      <c r="I137" s="5"/>
    </row>
    <row r="138" spans="1:9" x14ac:dyDescent="0.25">
      <c r="A138" s="7"/>
      <c r="B138" s="8">
        <f>IF(C138="","",IF(ISNUMBER(MATCH(C138,Insumos!$A:$A,0)),"insumo",IF(ISNUMBER(MATCH(C138,Preparos!$A:$A,0)),"preparo","")))</f>
      </c>
      <c r="C138" s="7"/>
      <c r="D138" s="7"/>
      <c r="E138" s="8">
        <f>IF(C138="","",IFERROR(VLOOKUP(C138,Insumos!$A:$I,9,FALSE),IFERROR(VLOOKUP(C138,Preparos!$A:$D,4,FALSE),"")))</f>
      </c>
      <c r="F138" s="8">
        <f>IF(C138="","",IFERROR(VLOOKUP(C138,Insumos!$A:$G,7,FALSE),100))</f>
      </c>
      <c r="G138" s="9">
        <f>IF(C138="","",IFERROR(VLOOKUP(C138,Insumos!$A:$J,10,FALSE),IFERROR(VLOOKUP(C138,Preparos!$A:$F,6,FALSE),0)))</f>
      </c>
      <c r="H138" s="10">
        <f>IF(OR(D138="",G138="",F138=0),"",D138*G138*(100/F138))</f>
      </c>
      <c r="I138" s="5"/>
    </row>
    <row r="139" spans="1:9" x14ac:dyDescent="0.25">
      <c r="A139" s="7"/>
      <c r="B139" s="8">
        <f>IF(C139="","",IF(ISNUMBER(MATCH(C139,Insumos!$A:$A,0)),"insumo",IF(ISNUMBER(MATCH(C139,Preparos!$A:$A,0)),"preparo","")))</f>
      </c>
      <c r="C139" s="7"/>
      <c r="D139" s="7"/>
      <c r="E139" s="8">
        <f>IF(C139="","",IFERROR(VLOOKUP(C139,Insumos!$A:$I,9,FALSE),IFERROR(VLOOKUP(C139,Preparos!$A:$D,4,FALSE),"")))</f>
      </c>
      <c r="F139" s="8">
        <f>IF(C139="","",IFERROR(VLOOKUP(C139,Insumos!$A:$G,7,FALSE),100))</f>
      </c>
      <c r="G139" s="9">
        <f>IF(C139="","",IFERROR(VLOOKUP(C139,Insumos!$A:$J,10,FALSE),IFERROR(VLOOKUP(C139,Preparos!$A:$F,6,FALSE),0)))</f>
      </c>
      <c r="H139" s="10">
        <f>IF(OR(D139="",G139="",F139=0),"",D139*G139*(100/F139))</f>
      </c>
      <c r="I139" s="5"/>
    </row>
    <row r="140" spans="1:9" x14ac:dyDescent="0.25">
      <c r="A140" s="7"/>
      <c r="B140" s="8">
        <f>IF(C140="","",IF(ISNUMBER(MATCH(C140,Insumos!$A:$A,0)),"insumo",IF(ISNUMBER(MATCH(C140,Preparos!$A:$A,0)),"preparo","")))</f>
      </c>
      <c r="C140" s="7"/>
      <c r="D140" s="7"/>
      <c r="E140" s="8">
        <f>IF(C140="","",IFERROR(VLOOKUP(C140,Insumos!$A:$I,9,FALSE),IFERROR(VLOOKUP(C140,Preparos!$A:$D,4,FALSE),"")))</f>
      </c>
      <c r="F140" s="8">
        <f>IF(C140="","",IFERROR(VLOOKUP(C140,Insumos!$A:$G,7,FALSE),100))</f>
      </c>
      <c r="G140" s="9">
        <f>IF(C140="","",IFERROR(VLOOKUP(C140,Insumos!$A:$J,10,FALSE),IFERROR(VLOOKUP(C140,Preparos!$A:$F,6,FALSE),0)))</f>
      </c>
      <c r="H140" s="10">
        <f>IF(OR(D140="",G140="",F140=0),"",D140*G140*(100/F140))</f>
      </c>
      <c r="I140" s="5"/>
    </row>
    <row r="141" spans="1:9" x14ac:dyDescent="0.25">
      <c r="A141" s="7"/>
      <c r="B141" s="8">
        <f>IF(C141="","",IF(ISNUMBER(MATCH(C141,Insumos!$A:$A,0)),"insumo",IF(ISNUMBER(MATCH(C141,Preparos!$A:$A,0)),"preparo","")))</f>
      </c>
      <c r="C141" s="7"/>
      <c r="D141" s="7"/>
      <c r="E141" s="8">
        <f>IF(C141="","",IFERROR(VLOOKUP(C141,Insumos!$A:$I,9,FALSE),IFERROR(VLOOKUP(C141,Preparos!$A:$D,4,FALSE),"")))</f>
      </c>
      <c r="F141" s="8">
        <f>IF(C141="","",IFERROR(VLOOKUP(C141,Insumos!$A:$G,7,FALSE),100))</f>
      </c>
      <c r="G141" s="9">
        <f>IF(C141="","",IFERROR(VLOOKUP(C141,Insumos!$A:$J,10,FALSE),IFERROR(VLOOKUP(C141,Preparos!$A:$F,6,FALSE),0)))</f>
      </c>
      <c r="H141" s="10">
        <f>IF(OR(D141="",G141="",F141=0),"",D141*G141*(100/F141))</f>
      </c>
      <c r="I141" s="5"/>
    </row>
    <row r="142" spans="1:9" x14ac:dyDescent="0.25">
      <c r="A142" s="7"/>
      <c r="B142" s="8">
        <f>IF(C142="","",IF(ISNUMBER(MATCH(C142,Insumos!$A:$A,0)),"insumo",IF(ISNUMBER(MATCH(C142,Preparos!$A:$A,0)),"preparo","")))</f>
      </c>
      <c r="C142" s="7"/>
      <c r="D142" s="7"/>
      <c r="E142" s="8">
        <f>IF(C142="","",IFERROR(VLOOKUP(C142,Insumos!$A:$I,9,FALSE),IFERROR(VLOOKUP(C142,Preparos!$A:$D,4,FALSE),"")))</f>
      </c>
      <c r="F142" s="8">
        <f>IF(C142="","",IFERROR(VLOOKUP(C142,Insumos!$A:$G,7,FALSE),100))</f>
      </c>
      <c r="G142" s="9">
        <f>IF(C142="","",IFERROR(VLOOKUP(C142,Insumos!$A:$J,10,FALSE),IFERROR(VLOOKUP(C142,Preparos!$A:$F,6,FALSE),0)))</f>
      </c>
      <c r="H142" s="10">
        <f>IF(OR(D142="",G142="",F142=0),"",D142*G142*(100/F142))</f>
      </c>
      <c r="I142" s="5"/>
    </row>
    <row r="143" spans="1:9" x14ac:dyDescent="0.25">
      <c r="A143" s="7"/>
      <c r="B143" s="8">
        <f>IF(C143="","",IF(ISNUMBER(MATCH(C143,Insumos!$A:$A,0)),"insumo",IF(ISNUMBER(MATCH(C143,Preparos!$A:$A,0)),"preparo","")))</f>
      </c>
      <c r="C143" s="7"/>
      <c r="D143" s="7"/>
      <c r="E143" s="8">
        <f>IF(C143="","",IFERROR(VLOOKUP(C143,Insumos!$A:$I,9,FALSE),IFERROR(VLOOKUP(C143,Preparos!$A:$D,4,FALSE),"")))</f>
      </c>
      <c r="F143" s="8">
        <f>IF(C143="","",IFERROR(VLOOKUP(C143,Insumos!$A:$G,7,FALSE),100))</f>
      </c>
      <c r="G143" s="9">
        <f>IF(C143="","",IFERROR(VLOOKUP(C143,Insumos!$A:$J,10,FALSE),IFERROR(VLOOKUP(C143,Preparos!$A:$F,6,FALSE),0)))</f>
      </c>
      <c r="H143" s="10">
        <f>IF(OR(D143="",G143="",F143=0),"",D143*G143*(100/F143))</f>
      </c>
      <c r="I143" s="5"/>
    </row>
    <row r="144" spans="1:9" x14ac:dyDescent="0.25">
      <c r="A144" s="7"/>
      <c r="B144" s="8">
        <f>IF(C144="","",IF(ISNUMBER(MATCH(C144,Insumos!$A:$A,0)),"insumo",IF(ISNUMBER(MATCH(C144,Preparos!$A:$A,0)),"preparo","")))</f>
      </c>
      <c r="C144" s="7"/>
      <c r="D144" s="7"/>
      <c r="E144" s="8">
        <f>IF(C144="","",IFERROR(VLOOKUP(C144,Insumos!$A:$I,9,FALSE),IFERROR(VLOOKUP(C144,Preparos!$A:$D,4,FALSE),"")))</f>
      </c>
      <c r="F144" s="8">
        <f>IF(C144="","",IFERROR(VLOOKUP(C144,Insumos!$A:$G,7,FALSE),100))</f>
      </c>
      <c r="G144" s="9">
        <f>IF(C144="","",IFERROR(VLOOKUP(C144,Insumos!$A:$J,10,FALSE),IFERROR(VLOOKUP(C144,Preparos!$A:$F,6,FALSE),0)))</f>
      </c>
      <c r="H144" s="10">
        <f>IF(OR(D144="",G144="",F144=0),"",D144*G144*(100/F144))</f>
      </c>
      <c r="I144" s="5"/>
    </row>
    <row r="145" spans="1:9" x14ac:dyDescent="0.25">
      <c r="A145" s="7"/>
      <c r="B145" s="8">
        <f>IF(C145="","",IF(ISNUMBER(MATCH(C145,Insumos!$A:$A,0)),"insumo",IF(ISNUMBER(MATCH(C145,Preparos!$A:$A,0)),"preparo","")))</f>
      </c>
      <c r="C145" s="7"/>
      <c r="D145" s="7"/>
      <c r="E145" s="8">
        <f>IF(C145="","",IFERROR(VLOOKUP(C145,Insumos!$A:$I,9,FALSE),IFERROR(VLOOKUP(C145,Preparos!$A:$D,4,FALSE),"")))</f>
      </c>
      <c r="F145" s="8">
        <f>IF(C145="","",IFERROR(VLOOKUP(C145,Insumos!$A:$G,7,FALSE),100))</f>
      </c>
      <c r="G145" s="9">
        <f>IF(C145="","",IFERROR(VLOOKUP(C145,Insumos!$A:$J,10,FALSE),IFERROR(VLOOKUP(C145,Preparos!$A:$F,6,FALSE),0)))</f>
      </c>
      <c r="H145" s="10">
        <f>IF(OR(D145="",G145="",F145=0),"",D145*G145*(100/F145))</f>
      </c>
      <c r="I145" s="5"/>
    </row>
    <row r="146" spans="1:9" x14ac:dyDescent="0.25">
      <c r="A146" s="7"/>
      <c r="B146" s="8">
        <f>IF(C146="","",IF(ISNUMBER(MATCH(C146,Insumos!$A:$A,0)),"insumo",IF(ISNUMBER(MATCH(C146,Preparos!$A:$A,0)),"preparo","")))</f>
      </c>
      <c r="C146" s="7"/>
      <c r="D146" s="7"/>
      <c r="E146" s="8">
        <f>IF(C146="","",IFERROR(VLOOKUP(C146,Insumos!$A:$I,9,FALSE),IFERROR(VLOOKUP(C146,Preparos!$A:$D,4,FALSE),"")))</f>
      </c>
      <c r="F146" s="8">
        <f>IF(C146="","",IFERROR(VLOOKUP(C146,Insumos!$A:$G,7,FALSE),100))</f>
      </c>
      <c r="G146" s="9">
        <f>IF(C146="","",IFERROR(VLOOKUP(C146,Insumos!$A:$J,10,FALSE),IFERROR(VLOOKUP(C146,Preparos!$A:$F,6,FALSE),0)))</f>
      </c>
      <c r="H146" s="10">
        <f>IF(OR(D146="",G146="",F146=0),"",D146*G146*(100/F146))</f>
      </c>
      <c r="I146" s="5"/>
    </row>
    <row r="147" spans="1:9" x14ac:dyDescent="0.25">
      <c r="A147" s="7"/>
      <c r="B147" s="8">
        <f>IF(C147="","",IF(ISNUMBER(MATCH(C147,Insumos!$A:$A,0)),"insumo",IF(ISNUMBER(MATCH(C147,Preparos!$A:$A,0)),"preparo","")))</f>
      </c>
      <c r="C147" s="7"/>
      <c r="D147" s="7"/>
      <c r="E147" s="8">
        <f>IF(C147="","",IFERROR(VLOOKUP(C147,Insumos!$A:$I,9,FALSE),IFERROR(VLOOKUP(C147,Preparos!$A:$D,4,FALSE),"")))</f>
      </c>
      <c r="F147" s="8">
        <f>IF(C147="","",IFERROR(VLOOKUP(C147,Insumos!$A:$G,7,FALSE),100))</f>
      </c>
      <c r="G147" s="9">
        <f>IF(C147="","",IFERROR(VLOOKUP(C147,Insumos!$A:$J,10,FALSE),IFERROR(VLOOKUP(C147,Preparos!$A:$F,6,FALSE),0)))</f>
      </c>
      <c r="H147" s="10">
        <f>IF(OR(D147="",G147="",F147=0),"",D147*G147*(100/F147))</f>
      </c>
      <c r="I147" s="5"/>
    </row>
    <row r="148" spans="1:9" x14ac:dyDescent="0.25">
      <c r="A148" s="7"/>
      <c r="B148" s="8">
        <f>IF(C148="","",IF(ISNUMBER(MATCH(C148,Insumos!$A:$A,0)),"insumo",IF(ISNUMBER(MATCH(C148,Preparos!$A:$A,0)),"preparo","")))</f>
      </c>
      <c r="C148" s="7"/>
      <c r="D148" s="7"/>
      <c r="E148" s="8">
        <f>IF(C148="","",IFERROR(VLOOKUP(C148,Insumos!$A:$I,9,FALSE),IFERROR(VLOOKUP(C148,Preparos!$A:$D,4,FALSE),"")))</f>
      </c>
      <c r="F148" s="8">
        <f>IF(C148="","",IFERROR(VLOOKUP(C148,Insumos!$A:$G,7,FALSE),100))</f>
      </c>
      <c r="G148" s="9">
        <f>IF(C148="","",IFERROR(VLOOKUP(C148,Insumos!$A:$J,10,FALSE),IFERROR(VLOOKUP(C148,Preparos!$A:$F,6,FALSE),0)))</f>
      </c>
      <c r="H148" s="10">
        <f>IF(OR(D148="",G148="",F148=0),"",D148*G148*(100/F148))</f>
      </c>
      <c r="I148" s="5"/>
    </row>
    <row r="149" spans="1:9" x14ac:dyDescent="0.25">
      <c r="A149" s="7"/>
      <c r="B149" s="8">
        <f>IF(C149="","",IF(ISNUMBER(MATCH(C149,Insumos!$A:$A,0)),"insumo",IF(ISNUMBER(MATCH(C149,Preparos!$A:$A,0)),"preparo","")))</f>
      </c>
      <c r="C149" s="7"/>
      <c r="D149" s="7"/>
      <c r="E149" s="8">
        <f>IF(C149="","",IFERROR(VLOOKUP(C149,Insumos!$A:$I,9,FALSE),IFERROR(VLOOKUP(C149,Preparos!$A:$D,4,FALSE),"")))</f>
      </c>
      <c r="F149" s="8">
        <f>IF(C149="","",IFERROR(VLOOKUP(C149,Insumos!$A:$G,7,FALSE),100))</f>
      </c>
      <c r="G149" s="9">
        <f>IF(C149="","",IFERROR(VLOOKUP(C149,Insumos!$A:$J,10,FALSE),IFERROR(VLOOKUP(C149,Preparos!$A:$F,6,FALSE),0)))</f>
      </c>
      <c r="H149" s="10">
        <f>IF(OR(D149="",G149="",F149=0),"",D149*G149*(100/F149))</f>
      </c>
      <c r="I149" s="5"/>
    </row>
    <row r="150" spans="1:9" x14ac:dyDescent="0.25">
      <c r="A150" s="7"/>
      <c r="B150" s="8">
        <f>IF(C150="","",IF(ISNUMBER(MATCH(C150,Insumos!$A:$A,0)),"insumo",IF(ISNUMBER(MATCH(C150,Preparos!$A:$A,0)),"preparo","")))</f>
      </c>
      <c r="C150" s="7"/>
      <c r="D150" s="7"/>
      <c r="E150" s="8">
        <f>IF(C150="","",IFERROR(VLOOKUP(C150,Insumos!$A:$I,9,FALSE),IFERROR(VLOOKUP(C150,Preparos!$A:$D,4,FALSE),"")))</f>
      </c>
      <c r="F150" s="8">
        <f>IF(C150="","",IFERROR(VLOOKUP(C150,Insumos!$A:$G,7,FALSE),100))</f>
      </c>
      <c r="G150" s="9">
        <f>IF(C150="","",IFERROR(VLOOKUP(C150,Insumos!$A:$J,10,FALSE),IFERROR(VLOOKUP(C150,Preparos!$A:$F,6,FALSE),0)))</f>
      </c>
      <c r="H150" s="10">
        <f>IF(OR(D150="",G150="",F150=0),"",D150*G150*(100/F150))</f>
      </c>
      <c r="I150" s="5"/>
    </row>
    <row r="151" spans="1:9" x14ac:dyDescent="0.25">
      <c r="A151" s="7"/>
      <c r="B151" s="8">
        <f>IF(C151="","",IF(ISNUMBER(MATCH(C151,Insumos!$A:$A,0)),"insumo",IF(ISNUMBER(MATCH(C151,Preparos!$A:$A,0)),"preparo","")))</f>
      </c>
      <c r="C151" s="7"/>
      <c r="D151" s="7"/>
      <c r="E151" s="8">
        <f>IF(C151="","",IFERROR(VLOOKUP(C151,Insumos!$A:$I,9,FALSE),IFERROR(VLOOKUP(C151,Preparos!$A:$D,4,FALSE),"")))</f>
      </c>
      <c r="F151" s="8">
        <f>IF(C151="","",IFERROR(VLOOKUP(C151,Insumos!$A:$G,7,FALSE),100))</f>
      </c>
      <c r="G151" s="9">
        <f>IF(C151="","",IFERROR(VLOOKUP(C151,Insumos!$A:$J,10,FALSE),IFERROR(VLOOKUP(C151,Preparos!$A:$F,6,FALSE),0)))</f>
      </c>
      <c r="H151" s="10">
        <f>IF(OR(D151="",G151="",F151=0),"",D151*G151*(100/F151))</f>
      </c>
      <c r="I151" s="5"/>
    </row>
    <row r="152" spans="1:9" x14ac:dyDescent="0.25">
      <c r="A152" s="7"/>
      <c r="B152" s="8">
        <f>IF(C152="","",IF(ISNUMBER(MATCH(C152,Insumos!$A:$A,0)),"insumo",IF(ISNUMBER(MATCH(C152,Preparos!$A:$A,0)),"preparo","")))</f>
      </c>
      <c r="C152" s="7"/>
      <c r="D152" s="7"/>
      <c r="E152" s="8">
        <f>IF(C152="","",IFERROR(VLOOKUP(C152,Insumos!$A:$I,9,FALSE),IFERROR(VLOOKUP(C152,Preparos!$A:$D,4,FALSE),"")))</f>
      </c>
      <c r="F152" s="8">
        <f>IF(C152="","",IFERROR(VLOOKUP(C152,Insumos!$A:$G,7,FALSE),100))</f>
      </c>
      <c r="G152" s="9">
        <f>IF(C152="","",IFERROR(VLOOKUP(C152,Insumos!$A:$J,10,FALSE),IFERROR(VLOOKUP(C152,Preparos!$A:$F,6,FALSE),0)))</f>
      </c>
      <c r="H152" s="10">
        <f>IF(OR(D152="",G152="",F152=0),"",D152*G152*(100/F152))</f>
      </c>
      <c r="I152" s="5"/>
    </row>
    <row r="153" spans="1:9" x14ac:dyDescent="0.25">
      <c r="A153" s="7"/>
      <c r="B153" s="8">
        <f>IF(C153="","",IF(ISNUMBER(MATCH(C153,Insumos!$A:$A,0)),"insumo",IF(ISNUMBER(MATCH(C153,Preparos!$A:$A,0)),"preparo","")))</f>
      </c>
      <c r="C153" s="7"/>
      <c r="D153" s="7"/>
      <c r="E153" s="8">
        <f>IF(C153="","",IFERROR(VLOOKUP(C153,Insumos!$A:$I,9,FALSE),IFERROR(VLOOKUP(C153,Preparos!$A:$D,4,FALSE),"")))</f>
      </c>
      <c r="F153" s="8">
        <f>IF(C153="","",IFERROR(VLOOKUP(C153,Insumos!$A:$G,7,FALSE),100))</f>
      </c>
      <c r="G153" s="9">
        <f>IF(C153="","",IFERROR(VLOOKUP(C153,Insumos!$A:$J,10,FALSE),IFERROR(VLOOKUP(C153,Preparos!$A:$F,6,FALSE),0)))</f>
      </c>
      <c r="H153" s="10">
        <f>IF(OR(D153="",G153="",F153=0),"",D153*G153*(100/F153))</f>
      </c>
      <c r="I153" s="5"/>
    </row>
    <row r="154" spans="1:9" x14ac:dyDescent="0.25">
      <c r="A154" s="7"/>
      <c r="B154" s="8">
        <f>IF(C154="","",IF(ISNUMBER(MATCH(C154,Insumos!$A:$A,0)),"insumo",IF(ISNUMBER(MATCH(C154,Preparos!$A:$A,0)),"preparo","")))</f>
      </c>
      <c r="C154" s="7"/>
      <c r="D154" s="7"/>
      <c r="E154" s="8">
        <f>IF(C154="","",IFERROR(VLOOKUP(C154,Insumos!$A:$I,9,FALSE),IFERROR(VLOOKUP(C154,Preparos!$A:$D,4,FALSE),"")))</f>
      </c>
      <c r="F154" s="8">
        <f>IF(C154="","",IFERROR(VLOOKUP(C154,Insumos!$A:$G,7,FALSE),100))</f>
      </c>
      <c r="G154" s="9">
        <f>IF(C154="","",IFERROR(VLOOKUP(C154,Insumos!$A:$J,10,FALSE),IFERROR(VLOOKUP(C154,Preparos!$A:$F,6,FALSE),0)))</f>
      </c>
      <c r="H154" s="10">
        <f>IF(OR(D154="",G154="",F154=0),"",D154*G154*(100/F154))</f>
      </c>
      <c r="I154" s="5"/>
    </row>
    <row r="155" spans="1:9" x14ac:dyDescent="0.25">
      <c r="A155" s="7"/>
      <c r="B155" s="8">
        <f>IF(C155="","",IF(ISNUMBER(MATCH(C155,Insumos!$A:$A,0)),"insumo",IF(ISNUMBER(MATCH(C155,Preparos!$A:$A,0)),"preparo","")))</f>
      </c>
      <c r="C155" s="7"/>
      <c r="D155" s="7"/>
      <c r="E155" s="8">
        <f>IF(C155="","",IFERROR(VLOOKUP(C155,Insumos!$A:$I,9,FALSE),IFERROR(VLOOKUP(C155,Preparos!$A:$D,4,FALSE),"")))</f>
      </c>
      <c r="F155" s="8">
        <f>IF(C155="","",IFERROR(VLOOKUP(C155,Insumos!$A:$G,7,FALSE),100))</f>
      </c>
      <c r="G155" s="9">
        <f>IF(C155="","",IFERROR(VLOOKUP(C155,Insumos!$A:$J,10,FALSE),IFERROR(VLOOKUP(C155,Preparos!$A:$F,6,FALSE),0)))</f>
      </c>
      <c r="H155" s="10">
        <f>IF(OR(D155="",G155="",F155=0),"",D155*G155*(100/F155))</f>
      </c>
      <c r="I155" s="5"/>
    </row>
    <row r="156" spans="1:9" x14ac:dyDescent="0.25">
      <c r="A156" s="7"/>
      <c r="B156" s="8">
        <f>IF(C156="","",IF(ISNUMBER(MATCH(C156,Insumos!$A:$A,0)),"insumo",IF(ISNUMBER(MATCH(C156,Preparos!$A:$A,0)),"preparo","")))</f>
      </c>
      <c r="C156" s="7"/>
      <c r="D156" s="7"/>
      <c r="E156" s="8">
        <f>IF(C156="","",IFERROR(VLOOKUP(C156,Insumos!$A:$I,9,FALSE),IFERROR(VLOOKUP(C156,Preparos!$A:$D,4,FALSE),"")))</f>
      </c>
      <c r="F156" s="8">
        <f>IF(C156="","",IFERROR(VLOOKUP(C156,Insumos!$A:$G,7,FALSE),100))</f>
      </c>
      <c r="G156" s="9">
        <f>IF(C156="","",IFERROR(VLOOKUP(C156,Insumos!$A:$J,10,FALSE),IFERROR(VLOOKUP(C156,Preparos!$A:$F,6,FALSE),0)))</f>
      </c>
      <c r="H156" s="10">
        <f>IF(OR(D156="",G156="",F156=0),"",D156*G156*(100/F156))</f>
      </c>
      <c r="I156" s="5"/>
    </row>
    <row r="157" spans="1:9" x14ac:dyDescent="0.25">
      <c r="A157" s="7"/>
      <c r="B157" s="8">
        <f>IF(C157="","",IF(ISNUMBER(MATCH(C157,Insumos!$A:$A,0)),"insumo",IF(ISNUMBER(MATCH(C157,Preparos!$A:$A,0)),"preparo","")))</f>
      </c>
      <c r="C157" s="7"/>
      <c r="D157" s="7"/>
      <c r="E157" s="8">
        <f>IF(C157="","",IFERROR(VLOOKUP(C157,Insumos!$A:$I,9,FALSE),IFERROR(VLOOKUP(C157,Preparos!$A:$D,4,FALSE),"")))</f>
      </c>
      <c r="F157" s="8">
        <f>IF(C157="","",IFERROR(VLOOKUP(C157,Insumos!$A:$G,7,FALSE),100))</f>
      </c>
      <c r="G157" s="9">
        <f>IF(C157="","",IFERROR(VLOOKUP(C157,Insumos!$A:$J,10,FALSE),IFERROR(VLOOKUP(C157,Preparos!$A:$F,6,FALSE),0)))</f>
      </c>
      <c r="H157" s="10">
        <f>IF(OR(D157="",G157="",F157=0),"",D157*G157*(100/F157))</f>
      </c>
      <c r="I157" s="5"/>
    </row>
    <row r="158" spans="1:9" x14ac:dyDescent="0.25">
      <c r="A158" s="7"/>
      <c r="B158" s="8">
        <f>IF(C158="","",IF(ISNUMBER(MATCH(C158,Insumos!$A:$A,0)),"insumo",IF(ISNUMBER(MATCH(C158,Preparos!$A:$A,0)),"preparo","")))</f>
      </c>
      <c r="C158" s="7"/>
      <c r="D158" s="7"/>
      <c r="E158" s="8">
        <f>IF(C158="","",IFERROR(VLOOKUP(C158,Insumos!$A:$I,9,FALSE),IFERROR(VLOOKUP(C158,Preparos!$A:$D,4,FALSE),"")))</f>
      </c>
      <c r="F158" s="8">
        <f>IF(C158="","",IFERROR(VLOOKUP(C158,Insumos!$A:$G,7,FALSE),100))</f>
      </c>
      <c r="G158" s="9">
        <f>IF(C158="","",IFERROR(VLOOKUP(C158,Insumos!$A:$J,10,FALSE),IFERROR(VLOOKUP(C158,Preparos!$A:$F,6,FALSE),0)))</f>
      </c>
      <c r="H158" s="10">
        <f>IF(OR(D158="",G158="",F158=0),"",D158*G158*(100/F158))</f>
      </c>
      <c r="I158" s="5"/>
    </row>
    <row r="159" spans="1:9" x14ac:dyDescent="0.25">
      <c r="A159" s="7"/>
      <c r="B159" s="8">
        <f>IF(C159="","",IF(ISNUMBER(MATCH(C159,Insumos!$A:$A,0)),"insumo",IF(ISNUMBER(MATCH(C159,Preparos!$A:$A,0)),"preparo","")))</f>
      </c>
      <c r="C159" s="7"/>
      <c r="D159" s="7"/>
      <c r="E159" s="8">
        <f>IF(C159="","",IFERROR(VLOOKUP(C159,Insumos!$A:$I,9,FALSE),IFERROR(VLOOKUP(C159,Preparos!$A:$D,4,FALSE),"")))</f>
      </c>
      <c r="F159" s="8">
        <f>IF(C159="","",IFERROR(VLOOKUP(C159,Insumos!$A:$G,7,FALSE),100))</f>
      </c>
      <c r="G159" s="9">
        <f>IF(C159="","",IFERROR(VLOOKUP(C159,Insumos!$A:$J,10,FALSE),IFERROR(VLOOKUP(C159,Preparos!$A:$F,6,FALSE),0)))</f>
      </c>
      <c r="H159" s="10">
        <f>IF(OR(D159="",G159="",F159=0),"",D159*G159*(100/F159))</f>
      </c>
      <c r="I159" s="5"/>
    </row>
    <row r="160" spans="1:9" x14ac:dyDescent="0.25">
      <c r="A160" s="7"/>
      <c r="B160" s="8">
        <f>IF(C160="","",IF(ISNUMBER(MATCH(C160,Insumos!$A:$A,0)),"insumo",IF(ISNUMBER(MATCH(C160,Preparos!$A:$A,0)),"preparo","")))</f>
      </c>
      <c r="C160" s="7"/>
      <c r="D160" s="7"/>
      <c r="E160" s="8">
        <f>IF(C160="","",IFERROR(VLOOKUP(C160,Insumos!$A:$I,9,FALSE),IFERROR(VLOOKUP(C160,Preparos!$A:$D,4,FALSE),"")))</f>
      </c>
      <c r="F160" s="8">
        <f>IF(C160="","",IFERROR(VLOOKUP(C160,Insumos!$A:$G,7,FALSE),100))</f>
      </c>
      <c r="G160" s="9">
        <f>IF(C160="","",IFERROR(VLOOKUP(C160,Insumos!$A:$J,10,FALSE),IFERROR(VLOOKUP(C160,Preparos!$A:$F,6,FALSE),0)))</f>
      </c>
      <c r="H160" s="10">
        <f>IF(OR(D160="",G160="",F160=0),"",D160*G160*(100/F160))</f>
      </c>
      <c r="I160" s="5"/>
    </row>
    <row r="161" spans="1:9" x14ac:dyDescent="0.25">
      <c r="A161" s="7"/>
      <c r="B161" s="8">
        <f>IF(C161="","",IF(ISNUMBER(MATCH(C161,Insumos!$A:$A,0)),"insumo",IF(ISNUMBER(MATCH(C161,Preparos!$A:$A,0)),"preparo","")))</f>
      </c>
      <c r="C161" s="7"/>
      <c r="D161" s="7"/>
      <c r="E161" s="8">
        <f>IF(C161="","",IFERROR(VLOOKUP(C161,Insumos!$A:$I,9,FALSE),IFERROR(VLOOKUP(C161,Preparos!$A:$D,4,FALSE),"")))</f>
      </c>
      <c r="F161" s="8">
        <f>IF(C161="","",IFERROR(VLOOKUP(C161,Insumos!$A:$G,7,FALSE),100))</f>
      </c>
      <c r="G161" s="9">
        <f>IF(C161="","",IFERROR(VLOOKUP(C161,Insumos!$A:$J,10,FALSE),IFERROR(VLOOKUP(C161,Preparos!$A:$F,6,FALSE),0)))</f>
      </c>
      <c r="H161" s="10">
        <f>IF(OR(D161="",G161="",F161=0),"",D161*G161*(100/F161))</f>
      </c>
      <c r="I161" s="5"/>
    </row>
    <row r="162" spans="1:9" x14ac:dyDescent="0.25">
      <c r="A162" s="7"/>
      <c r="B162" s="8">
        <f>IF(C162="","",IF(ISNUMBER(MATCH(C162,Insumos!$A:$A,0)),"insumo",IF(ISNUMBER(MATCH(C162,Preparos!$A:$A,0)),"preparo","")))</f>
      </c>
      <c r="C162" s="7"/>
      <c r="D162" s="7"/>
      <c r="E162" s="8">
        <f>IF(C162="","",IFERROR(VLOOKUP(C162,Insumos!$A:$I,9,FALSE),IFERROR(VLOOKUP(C162,Preparos!$A:$D,4,FALSE),"")))</f>
      </c>
      <c r="F162" s="8">
        <f>IF(C162="","",IFERROR(VLOOKUP(C162,Insumos!$A:$G,7,FALSE),100))</f>
      </c>
      <c r="G162" s="9">
        <f>IF(C162="","",IFERROR(VLOOKUP(C162,Insumos!$A:$J,10,FALSE),IFERROR(VLOOKUP(C162,Preparos!$A:$F,6,FALSE),0)))</f>
      </c>
      <c r="H162" s="10">
        <f>IF(OR(D162="",G162="",F162=0),"",D162*G162*(100/F162))</f>
      </c>
      <c r="I162" s="5"/>
    </row>
    <row r="163" spans="1:9" x14ac:dyDescent="0.25">
      <c r="A163" s="7"/>
      <c r="B163" s="8">
        <f>IF(C163="","",IF(ISNUMBER(MATCH(C163,Insumos!$A:$A,0)),"insumo",IF(ISNUMBER(MATCH(C163,Preparos!$A:$A,0)),"preparo","")))</f>
      </c>
      <c r="C163" s="7"/>
      <c r="D163" s="7"/>
      <c r="E163" s="8">
        <f>IF(C163="","",IFERROR(VLOOKUP(C163,Insumos!$A:$I,9,FALSE),IFERROR(VLOOKUP(C163,Preparos!$A:$D,4,FALSE),"")))</f>
      </c>
      <c r="F163" s="8">
        <f>IF(C163="","",IFERROR(VLOOKUP(C163,Insumos!$A:$G,7,FALSE),100))</f>
      </c>
      <c r="G163" s="9">
        <f>IF(C163="","",IFERROR(VLOOKUP(C163,Insumos!$A:$J,10,FALSE),IFERROR(VLOOKUP(C163,Preparos!$A:$F,6,FALSE),0)))</f>
      </c>
      <c r="H163" s="10">
        <f>IF(OR(D163="",G163="",F163=0),"",D163*G163*(100/F163))</f>
      </c>
      <c r="I163" s="5"/>
    </row>
    <row r="164" spans="1:9" x14ac:dyDescent="0.25">
      <c r="A164" s="7"/>
      <c r="B164" s="8">
        <f>IF(C164="","",IF(ISNUMBER(MATCH(C164,Insumos!$A:$A,0)),"insumo",IF(ISNUMBER(MATCH(C164,Preparos!$A:$A,0)),"preparo","")))</f>
      </c>
      <c r="C164" s="7"/>
      <c r="D164" s="7"/>
      <c r="E164" s="8">
        <f>IF(C164="","",IFERROR(VLOOKUP(C164,Insumos!$A:$I,9,FALSE),IFERROR(VLOOKUP(C164,Preparos!$A:$D,4,FALSE),"")))</f>
      </c>
      <c r="F164" s="8">
        <f>IF(C164="","",IFERROR(VLOOKUP(C164,Insumos!$A:$G,7,FALSE),100))</f>
      </c>
      <c r="G164" s="9">
        <f>IF(C164="","",IFERROR(VLOOKUP(C164,Insumos!$A:$J,10,FALSE),IFERROR(VLOOKUP(C164,Preparos!$A:$F,6,FALSE),0)))</f>
      </c>
      <c r="H164" s="10">
        <f>IF(OR(D164="",G164="",F164=0),"",D164*G164*(100/F164))</f>
      </c>
      <c r="I164" s="5"/>
    </row>
    <row r="165" spans="1:9" x14ac:dyDescent="0.25">
      <c r="A165" s="7"/>
      <c r="B165" s="8">
        <f>IF(C165="","",IF(ISNUMBER(MATCH(C165,Insumos!$A:$A,0)),"insumo",IF(ISNUMBER(MATCH(C165,Preparos!$A:$A,0)),"preparo","")))</f>
      </c>
      <c r="C165" s="7"/>
      <c r="D165" s="7"/>
      <c r="E165" s="8">
        <f>IF(C165="","",IFERROR(VLOOKUP(C165,Insumos!$A:$I,9,FALSE),IFERROR(VLOOKUP(C165,Preparos!$A:$D,4,FALSE),"")))</f>
      </c>
      <c r="F165" s="8">
        <f>IF(C165="","",IFERROR(VLOOKUP(C165,Insumos!$A:$G,7,FALSE),100))</f>
      </c>
      <c r="G165" s="9">
        <f>IF(C165="","",IFERROR(VLOOKUP(C165,Insumos!$A:$J,10,FALSE),IFERROR(VLOOKUP(C165,Preparos!$A:$F,6,FALSE),0)))</f>
      </c>
      <c r="H165" s="10">
        <f>IF(OR(D165="",G165="",F165=0),"",D165*G165*(100/F165))</f>
      </c>
      <c r="I165" s="5"/>
    </row>
    <row r="166" spans="1:9" x14ac:dyDescent="0.25">
      <c r="A166" s="7"/>
      <c r="B166" s="8">
        <f>IF(C166="","",IF(ISNUMBER(MATCH(C166,Insumos!$A:$A,0)),"insumo",IF(ISNUMBER(MATCH(C166,Preparos!$A:$A,0)),"preparo","")))</f>
      </c>
      <c r="C166" s="7"/>
      <c r="D166" s="7"/>
      <c r="E166" s="8">
        <f>IF(C166="","",IFERROR(VLOOKUP(C166,Insumos!$A:$I,9,FALSE),IFERROR(VLOOKUP(C166,Preparos!$A:$D,4,FALSE),"")))</f>
      </c>
      <c r="F166" s="8">
        <f>IF(C166="","",IFERROR(VLOOKUP(C166,Insumos!$A:$G,7,FALSE),100))</f>
      </c>
      <c r="G166" s="9">
        <f>IF(C166="","",IFERROR(VLOOKUP(C166,Insumos!$A:$J,10,FALSE),IFERROR(VLOOKUP(C166,Preparos!$A:$F,6,FALSE),0)))</f>
      </c>
      <c r="H166" s="10">
        <f>IF(OR(D166="",G166="",F166=0),"",D166*G166*(100/F166))</f>
      </c>
      <c r="I166" s="5"/>
    </row>
    <row r="167" spans="1:9" x14ac:dyDescent="0.25">
      <c r="A167" s="7"/>
      <c r="B167" s="8">
        <f>IF(C167="","",IF(ISNUMBER(MATCH(C167,Insumos!$A:$A,0)),"insumo",IF(ISNUMBER(MATCH(C167,Preparos!$A:$A,0)),"preparo","")))</f>
      </c>
      <c r="C167" s="7"/>
      <c r="D167" s="7"/>
      <c r="E167" s="8">
        <f>IF(C167="","",IFERROR(VLOOKUP(C167,Insumos!$A:$I,9,FALSE),IFERROR(VLOOKUP(C167,Preparos!$A:$D,4,FALSE),"")))</f>
      </c>
      <c r="F167" s="8">
        <f>IF(C167="","",IFERROR(VLOOKUP(C167,Insumos!$A:$G,7,FALSE),100))</f>
      </c>
      <c r="G167" s="9">
        <f>IF(C167="","",IFERROR(VLOOKUP(C167,Insumos!$A:$J,10,FALSE),IFERROR(VLOOKUP(C167,Preparos!$A:$F,6,FALSE),0)))</f>
      </c>
      <c r="H167" s="10">
        <f>IF(OR(D167="",G167="",F167=0),"",D167*G167*(100/F167))</f>
      </c>
      <c r="I167" s="5"/>
    </row>
    <row r="168" spans="1:9" x14ac:dyDescent="0.25">
      <c r="A168" s="7"/>
      <c r="B168" s="8">
        <f>IF(C168="","",IF(ISNUMBER(MATCH(C168,Insumos!$A:$A,0)),"insumo",IF(ISNUMBER(MATCH(C168,Preparos!$A:$A,0)),"preparo","")))</f>
      </c>
      <c r="C168" s="7"/>
      <c r="D168" s="7"/>
      <c r="E168" s="8">
        <f>IF(C168="","",IFERROR(VLOOKUP(C168,Insumos!$A:$I,9,FALSE),IFERROR(VLOOKUP(C168,Preparos!$A:$D,4,FALSE),"")))</f>
      </c>
      <c r="F168" s="8">
        <f>IF(C168="","",IFERROR(VLOOKUP(C168,Insumos!$A:$G,7,FALSE),100))</f>
      </c>
      <c r="G168" s="9">
        <f>IF(C168="","",IFERROR(VLOOKUP(C168,Insumos!$A:$J,10,FALSE),IFERROR(VLOOKUP(C168,Preparos!$A:$F,6,FALSE),0)))</f>
      </c>
      <c r="H168" s="10">
        <f>IF(OR(D168="",G168="",F168=0),"",D168*G168*(100/F168))</f>
      </c>
      <c r="I168" s="5"/>
    </row>
    <row r="169" spans="1:9" x14ac:dyDescent="0.25">
      <c r="A169" s="7"/>
      <c r="B169" s="8">
        <f>IF(C169="","",IF(ISNUMBER(MATCH(C169,Insumos!$A:$A,0)),"insumo",IF(ISNUMBER(MATCH(C169,Preparos!$A:$A,0)),"preparo","")))</f>
      </c>
      <c r="C169" s="7"/>
      <c r="D169" s="7"/>
      <c r="E169" s="8">
        <f>IF(C169="","",IFERROR(VLOOKUP(C169,Insumos!$A:$I,9,FALSE),IFERROR(VLOOKUP(C169,Preparos!$A:$D,4,FALSE),"")))</f>
      </c>
      <c r="F169" s="8">
        <f>IF(C169="","",IFERROR(VLOOKUP(C169,Insumos!$A:$G,7,FALSE),100))</f>
      </c>
      <c r="G169" s="9">
        <f>IF(C169="","",IFERROR(VLOOKUP(C169,Insumos!$A:$J,10,FALSE),IFERROR(VLOOKUP(C169,Preparos!$A:$F,6,FALSE),0)))</f>
      </c>
      <c r="H169" s="10">
        <f>IF(OR(D169="",G169="",F169=0),"",D169*G169*(100/F169))</f>
      </c>
      <c r="I169" s="5"/>
    </row>
    <row r="170" spans="1:9" x14ac:dyDescent="0.25">
      <c r="A170" s="7"/>
      <c r="B170" s="8">
        <f>IF(C170="","",IF(ISNUMBER(MATCH(C170,Insumos!$A:$A,0)),"insumo",IF(ISNUMBER(MATCH(C170,Preparos!$A:$A,0)),"preparo","")))</f>
      </c>
      <c r="C170" s="7"/>
      <c r="D170" s="7"/>
      <c r="E170" s="8">
        <f>IF(C170="","",IFERROR(VLOOKUP(C170,Insumos!$A:$I,9,FALSE),IFERROR(VLOOKUP(C170,Preparos!$A:$D,4,FALSE),"")))</f>
      </c>
      <c r="F170" s="8">
        <f>IF(C170="","",IFERROR(VLOOKUP(C170,Insumos!$A:$G,7,FALSE),100))</f>
      </c>
      <c r="G170" s="9">
        <f>IF(C170="","",IFERROR(VLOOKUP(C170,Insumos!$A:$J,10,FALSE),IFERROR(VLOOKUP(C170,Preparos!$A:$F,6,FALSE),0)))</f>
      </c>
      <c r="H170" s="10">
        <f>IF(OR(D170="",G170="",F170=0),"",D170*G170*(100/F170))</f>
      </c>
      <c r="I170" s="5"/>
    </row>
    <row r="171" spans="1:9" x14ac:dyDescent="0.25">
      <c r="A171" s="7"/>
      <c r="B171" s="8">
        <f>IF(C171="","",IF(ISNUMBER(MATCH(C171,Insumos!$A:$A,0)),"insumo",IF(ISNUMBER(MATCH(C171,Preparos!$A:$A,0)),"preparo","")))</f>
      </c>
      <c r="C171" s="7"/>
      <c r="D171" s="7"/>
      <c r="E171" s="8">
        <f>IF(C171="","",IFERROR(VLOOKUP(C171,Insumos!$A:$I,9,FALSE),IFERROR(VLOOKUP(C171,Preparos!$A:$D,4,FALSE),"")))</f>
      </c>
      <c r="F171" s="8">
        <f>IF(C171="","",IFERROR(VLOOKUP(C171,Insumos!$A:$G,7,FALSE),100))</f>
      </c>
      <c r="G171" s="9">
        <f>IF(C171="","",IFERROR(VLOOKUP(C171,Insumos!$A:$J,10,FALSE),IFERROR(VLOOKUP(C171,Preparos!$A:$F,6,FALSE),0)))</f>
      </c>
      <c r="H171" s="10">
        <f>IF(OR(D171="",G171="",F171=0),"",D171*G171*(100/F171))</f>
      </c>
      <c r="I171" s="5"/>
    </row>
    <row r="172" spans="1:9" x14ac:dyDescent="0.25">
      <c r="A172" s="7"/>
      <c r="B172" s="8">
        <f>IF(C172="","",IF(ISNUMBER(MATCH(C172,Insumos!$A:$A,0)),"insumo",IF(ISNUMBER(MATCH(C172,Preparos!$A:$A,0)),"preparo","")))</f>
      </c>
      <c r="C172" s="7"/>
      <c r="D172" s="7"/>
      <c r="E172" s="8">
        <f>IF(C172="","",IFERROR(VLOOKUP(C172,Insumos!$A:$I,9,FALSE),IFERROR(VLOOKUP(C172,Preparos!$A:$D,4,FALSE),"")))</f>
      </c>
      <c r="F172" s="8">
        <f>IF(C172="","",IFERROR(VLOOKUP(C172,Insumos!$A:$G,7,FALSE),100))</f>
      </c>
      <c r="G172" s="9">
        <f>IF(C172="","",IFERROR(VLOOKUP(C172,Insumos!$A:$J,10,FALSE),IFERROR(VLOOKUP(C172,Preparos!$A:$F,6,FALSE),0)))</f>
      </c>
      <c r="H172" s="10">
        <f>IF(OR(D172="",G172="",F172=0),"",D172*G172*(100/F172))</f>
      </c>
      <c r="I172" s="5"/>
    </row>
    <row r="173" spans="1:9" x14ac:dyDescent="0.25">
      <c r="A173" s="7"/>
      <c r="B173" s="8">
        <f>IF(C173="","",IF(ISNUMBER(MATCH(C173,Insumos!$A:$A,0)),"insumo",IF(ISNUMBER(MATCH(C173,Preparos!$A:$A,0)),"preparo","")))</f>
      </c>
      <c r="C173" s="7"/>
      <c r="D173" s="7"/>
      <c r="E173" s="8">
        <f>IF(C173="","",IFERROR(VLOOKUP(C173,Insumos!$A:$I,9,FALSE),IFERROR(VLOOKUP(C173,Preparos!$A:$D,4,FALSE),"")))</f>
      </c>
      <c r="F173" s="8">
        <f>IF(C173="","",IFERROR(VLOOKUP(C173,Insumos!$A:$G,7,FALSE),100))</f>
      </c>
      <c r="G173" s="9">
        <f>IF(C173="","",IFERROR(VLOOKUP(C173,Insumos!$A:$J,10,FALSE),IFERROR(VLOOKUP(C173,Preparos!$A:$F,6,FALSE),0)))</f>
      </c>
      <c r="H173" s="10">
        <f>IF(OR(D173="",G173="",F173=0),"",D173*G173*(100/F173))</f>
      </c>
      <c r="I173" s="5"/>
    </row>
    <row r="174" spans="1:9" x14ac:dyDescent="0.25">
      <c r="A174" s="7"/>
      <c r="B174" s="8">
        <f>IF(C174="","",IF(ISNUMBER(MATCH(C174,Insumos!$A:$A,0)),"insumo",IF(ISNUMBER(MATCH(C174,Preparos!$A:$A,0)),"preparo","")))</f>
      </c>
      <c r="C174" s="7"/>
      <c r="D174" s="7"/>
      <c r="E174" s="8">
        <f>IF(C174="","",IFERROR(VLOOKUP(C174,Insumos!$A:$I,9,FALSE),IFERROR(VLOOKUP(C174,Preparos!$A:$D,4,FALSE),"")))</f>
      </c>
      <c r="F174" s="8">
        <f>IF(C174="","",IFERROR(VLOOKUP(C174,Insumos!$A:$G,7,FALSE),100))</f>
      </c>
      <c r="G174" s="9">
        <f>IF(C174="","",IFERROR(VLOOKUP(C174,Insumos!$A:$J,10,FALSE),IFERROR(VLOOKUP(C174,Preparos!$A:$F,6,FALSE),0)))</f>
      </c>
      <c r="H174" s="10">
        <f>IF(OR(D174="",G174="",F174=0),"",D174*G174*(100/F174))</f>
      </c>
      <c r="I174" s="5"/>
    </row>
    <row r="175" spans="1:9" x14ac:dyDescent="0.25">
      <c r="A175" s="7"/>
      <c r="B175" s="8">
        <f>IF(C175="","",IF(ISNUMBER(MATCH(C175,Insumos!$A:$A,0)),"insumo",IF(ISNUMBER(MATCH(C175,Preparos!$A:$A,0)),"preparo","")))</f>
      </c>
      <c r="C175" s="7"/>
      <c r="D175" s="7"/>
      <c r="E175" s="8">
        <f>IF(C175="","",IFERROR(VLOOKUP(C175,Insumos!$A:$I,9,FALSE),IFERROR(VLOOKUP(C175,Preparos!$A:$D,4,FALSE),"")))</f>
      </c>
      <c r="F175" s="8">
        <f>IF(C175="","",IFERROR(VLOOKUP(C175,Insumos!$A:$G,7,FALSE),100))</f>
      </c>
      <c r="G175" s="9">
        <f>IF(C175="","",IFERROR(VLOOKUP(C175,Insumos!$A:$J,10,FALSE),IFERROR(VLOOKUP(C175,Preparos!$A:$F,6,FALSE),0)))</f>
      </c>
      <c r="H175" s="10">
        <f>IF(OR(D175="",G175="",F175=0),"",D175*G175*(100/F175))</f>
      </c>
      <c r="I175" s="5"/>
    </row>
    <row r="176" spans="1:9" x14ac:dyDescent="0.25">
      <c r="A176" s="7"/>
      <c r="B176" s="8">
        <f>IF(C176="","",IF(ISNUMBER(MATCH(C176,Insumos!$A:$A,0)),"insumo",IF(ISNUMBER(MATCH(C176,Preparos!$A:$A,0)),"preparo","")))</f>
      </c>
      <c r="C176" s="7"/>
      <c r="D176" s="7"/>
      <c r="E176" s="8">
        <f>IF(C176="","",IFERROR(VLOOKUP(C176,Insumos!$A:$I,9,FALSE),IFERROR(VLOOKUP(C176,Preparos!$A:$D,4,FALSE),"")))</f>
      </c>
      <c r="F176" s="8">
        <f>IF(C176="","",IFERROR(VLOOKUP(C176,Insumos!$A:$G,7,FALSE),100))</f>
      </c>
      <c r="G176" s="9">
        <f>IF(C176="","",IFERROR(VLOOKUP(C176,Insumos!$A:$J,10,FALSE),IFERROR(VLOOKUP(C176,Preparos!$A:$F,6,FALSE),0)))</f>
      </c>
      <c r="H176" s="10">
        <f>IF(OR(D176="",G176="",F176=0),"",D176*G176*(100/F176))</f>
      </c>
      <c r="I176" s="5"/>
    </row>
    <row r="177" spans="1:9" x14ac:dyDescent="0.25">
      <c r="A177" s="7"/>
      <c r="B177" s="8">
        <f>IF(C177="","",IF(ISNUMBER(MATCH(C177,Insumos!$A:$A,0)),"insumo",IF(ISNUMBER(MATCH(C177,Preparos!$A:$A,0)),"preparo","")))</f>
      </c>
      <c r="C177" s="7"/>
      <c r="D177" s="7"/>
      <c r="E177" s="8">
        <f>IF(C177="","",IFERROR(VLOOKUP(C177,Insumos!$A:$I,9,FALSE),IFERROR(VLOOKUP(C177,Preparos!$A:$D,4,FALSE),"")))</f>
      </c>
      <c r="F177" s="8">
        <f>IF(C177="","",IFERROR(VLOOKUP(C177,Insumos!$A:$G,7,FALSE),100))</f>
      </c>
      <c r="G177" s="9">
        <f>IF(C177="","",IFERROR(VLOOKUP(C177,Insumos!$A:$J,10,FALSE),IFERROR(VLOOKUP(C177,Preparos!$A:$F,6,FALSE),0)))</f>
      </c>
      <c r="H177" s="10">
        <f>IF(OR(D177="",G177="",F177=0),"",D177*G177*(100/F177))</f>
      </c>
      <c r="I177" s="5"/>
    </row>
    <row r="178" spans="1:9" x14ac:dyDescent="0.25">
      <c r="A178" s="7"/>
      <c r="B178" s="8">
        <f>IF(C178="","",IF(ISNUMBER(MATCH(C178,Insumos!$A:$A,0)),"insumo",IF(ISNUMBER(MATCH(C178,Preparos!$A:$A,0)),"preparo","")))</f>
      </c>
      <c r="C178" s="7"/>
      <c r="D178" s="7"/>
      <c r="E178" s="8">
        <f>IF(C178="","",IFERROR(VLOOKUP(C178,Insumos!$A:$I,9,FALSE),IFERROR(VLOOKUP(C178,Preparos!$A:$D,4,FALSE),"")))</f>
      </c>
      <c r="F178" s="8">
        <f>IF(C178="","",IFERROR(VLOOKUP(C178,Insumos!$A:$G,7,FALSE),100))</f>
      </c>
      <c r="G178" s="9">
        <f>IF(C178="","",IFERROR(VLOOKUP(C178,Insumos!$A:$J,10,FALSE),IFERROR(VLOOKUP(C178,Preparos!$A:$F,6,FALSE),0)))</f>
      </c>
      <c r="H178" s="10">
        <f>IF(OR(D178="",G178="",F178=0),"",D178*G178*(100/F178))</f>
      </c>
      <c r="I178" s="5"/>
    </row>
    <row r="179" spans="1:9" x14ac:dyDescent="0.25">
      <c r="A179" s="7"/>
      <c r="B179" s="8">
        <f>IF(C179="","",IF(ISNUMBER(MATCH(C179,Insumos!$A:$A,0)),"insumo",IF(ISNUMBER(MATCH(C179,Preparos!$A:$A,0)),"preparo","")))</f>
      </c>
      <c r="C179" s="7"/>
      <c r="D179" s="7"/>
      <c r="E179" s="8">
        <f>IF(C179="","",IFERROR(VLOOKUP(C179,Insumos!$A:$I,9,FALSE),IFERROR(VLOOKUP(C179,Preparos!$A:$D,4,FALSE),"")))</f>
      </c>
      <c r="F179" s="8">
        <f>IF(C179="","",IFERROR(VLOOKUP(C179,Insumos!$A:$G,7,FALSE),100))</f>
      </c>
      <c r="G179" s="9">
        <f>IF(C179="","",IFERROR(VLOOKUP(C179,Insumos!$A:$J,10,FALSE),IFERROR(VLOOKUP(C179,Preparos!$A:$F,6,FALSE),0)))</f>
      </c>
      <c r="H179" s="10">
        <f>IF(OR(D179="",G179="",F179=0),"",D179*G179*(100/F179))</f>
      </c>
      <c r="I179" s="5"/>
    </row>
    <row r="180" spans="1:9" x14ac:dyDescent="0.25">
      <c r="A180" s="7"/>
      <c r="B180" s="8">
        <f>IF(C180="","",IF(ISNUMBER(MATCH(C180,Insumos!$A:$A,0)),"insumo",IF(ISNUMBER(MATCH(C180,Preparos!$A:$A,0)),"preparo","")))</f>
      </c>
      <c r="C180" s="7"/>
      <c r="D180" s="7"/>
      <c r="E180" s="8">
        <f>IF(C180="","",IFERROR(VLOOKUP(C180,Insumos!$A:$I,9,FALSE),IFERROR(VLOOKUP(C180,Preparos!$A:$D,4,FALSE),"")))</f>
      </c>
      <c r="F180" s="8">
        <f>IF(C180="","",IFERROR(VLOOKUP(C180,Insumos!$A:$G,7,FALSE),100))</f>
      </c>
      <c r="G180" s="9">
        <f>IF(C180="","",IFERROR(VLOOKUP(C180,Insumos!$A:$J,10,FALSE),IFERROR(VLOOKUP(C180,Preparos!$A:$F,6,FALSE),0)))</f>
      </c>
      <c r="H180" s="10">
        <f>IF(OR(D180="",G180="",F180=0),"",D180*G180*(100/F180))</f>
      </c>
      <c r="I180" s="5"/>
    </row>
    <row r="181" spans="1:9" x14ac:dyDescent="0.25">
      <c r="A181" s="7"/>
      <c r="B181" s="8">
        <f>IF(C181="","",IF(ISNUMBER(MATCH(C181,Insumos!$A:$A,0)),"insumo",IF(ISNUMBER(MATCH(C181,Preparos!$A:$A,0)),"preparo","")))</f>
      </c>
      <c r="C181" s="7"/>
      <c r="D181" s="7"/>
      <c r="E181" s="8">
        <f>IF(C181="","",IFERROR(VLOOKUP(C181,Insumos!$A:$I,9,FALSE),IFERROR(VLOOKUP(C181,Preparos!$A:$D,4,FALSE),"")))</f>
      </c>
      <c r="F181" s="8">
        <f>IF(C181="","",IFERROR(VLOOKUP(C181,Insumos!$A:$G,7,FALSE),100))</f>
      </c>
      <c r="G181" s="9">
        <f>IF(C181="","",IFERROR(VLOOKUP(C181,Insumos!$A:$J,10,FALSE),IFERROR(VLOOKUP(C181,Preparos!$A:$F,6,FALSE),0)))</f>
      </c>
      <c r="H181" s="10">
        <f>IF(OR(D181="",G181="",F181=0),"",D181*G181*(100/F181))</f>
      </c>
      <c r="I181" s="5"/>
    </row>
    <row r="182" spans="1:9" x14ac:dyDescent="0.25">
      <c r="A182" s="7"/>
      <c r="B182" s="8">
        <f>IF(C182="","",IF(ISNUMBER(MATCH(C182,Insumos!$A:$A,0)),"insumo",IF(ISNUMBER(MATCH(C182,Preparos!$A:$A,0)),"preparo","")))</f>
      </c>
      <c r="C182" s="7"/>
      <c r="D182" s="7"/>
      <c r="E182" s="8">
        <f>IF(C182="","",IFERROR(VLOOKUP(C182,Insumos!$A:$I,9,FALSE),IFERROR(VLOOKUP(C182,Preparos!$A:$D,4,FALSE),"")))</f>
      </c>
      <c r="F182" s="8">
        <f>IF(C182="","",IFERROR(VLOOKUP(C182,Insumos!$A:$G,7,FALSE),100))</f>
      </c>
      <c r="G182" s="9">
        <f>IF(C182="","",IFERROR(VLOOKUP(C182,Insumos!$A:$J,10,FALSE),IFERROR(VLOOKUP(C182,Preparos!$A:$F,6,FALSE),0)))</f>
      </c>
      <c r="H182" s="10">
        <f>IF(OR(D182="",G182="",F182=0),"",D182*G182*(100/F182))</f>
      </c>
      <c r="I182" s="5"/>
    </row>
    <row r="183" spans="1:9" x14ac:dyDescent="0.25">
      <c r="A183" s="7"/>
      <c r="B183" s="8">
        <f>IF(C183="","",IF(ISNUMBER(MATCH(C183,Insumos!$A:$A,0)),"insumo",IF(ISNUMBER(MATCH(C183,Preparos!$A:$A,0)),"preparo","")))</f>
      </c>
      <c r="C183" s="7"/>
      <c r="D183" s="7"/>
      <c r="E183" s="8">
        <f>IF(C183="","",IFERROR(VLOOKUP(C183,Insumos!$A:$I,9,FALSE),IFERROR(VLOOKUP(C183,Preparos!$A:$D,4,FALSE),"")))</f>
      </c>
      <c r="F183" s="8">
        <f>IF(C183="","",IFERROR(VLOOKUP(C183,Insumos!$A:$G,7,FALSE),100))</f>
      </c>
      <c r="G183" s="9">
        <f>IF(C183="","",IFERROR(VLOOKUP(C183,Insumos!$A:$J,10,FALSE),IFERROR(VLOOKUP(C183,Preparos!$A:$F,6,FALSE),0)))</f>
      </c>
      <c r="H183" s="10">
        <f>IF(OR(D183="",G183="",F183=0),"",D183*G183*(100/F183))</f>
      </c>
      <c r="I183" s="5"/>
    </row>
    <row r="184" spans="1:9" x14ac:dyDescent="0.25">
      <c r="A184" s="7"/>
      <c r="B184" s="8">
        <f>IF(C184="","",IF(ISNUMBER(MATCH(C184,Insumos!$A:$A,0)),"insumo",IF(ISNUMBER(MATCH(C184,Preparos!$A:$A,0)),"preparo","")))</f>
      </c>
      <c r="C184" s="7"/>
      <c r="D184" s="7"/>
      <c r="E184" s="8">
        <f>IF(C184="","",IFERROR(VLOOKUP(C184,Insumos!$A:$I,9,FALSE),IFERROR(VLOOKUP(C184,Preparos!$A:$D,4,FALSE),"")))</f>
      </c>
      <c r="F184" s="8">
        <f>IF(C184="","",IFERROR(VLOOKUP(C184,Insumos!$A:$G,7,FALSE),100))</f>
      </c>
      <c r="G184" s="9">
        <f>IF(C184="","",IFERROR(VLOOKUP(C184,Insumos!$A:$J,10,FALSE),IFERROR(VLOOKUP(C184,Preparos!$A:$F,6,FALSE),0)))</f>
      </c>
      <c r="H184" s="10">
        <f>IF(OR(D184="",G184="",F184=0),"",D184*G184*(100/F184))</f>
      </c>
      <c r="I184" s="5"/>
    </row>
    <row r="185" spans="1:9" x14ac:dyDescent="0.25">
      <c r="A185" s="7"/>
      <c r="B185" s="8">
        <f>IF(C185="","",IF(ISNUMBER(MATCH(C185,Insumos!$A:$A,0)),"insumo",IF(ISNUMBER(MATCH(C185,Preparos!$A:$A,0)),"preparo","")))</f>
      </c>
      <c r="C185" s="7"/>
      <c r="D185" s="7"/>
      <c r="E185" s="8">
        <f>IF(C185="","",IFERROR(VLOOKUP(C185,Insumos!$A:$I,9,FALSE),IFERROR(VLOOKUP(C185,Preparos!$A:$D,4,FALSE),"")))</f>
      </c>
      <c r="F185" s="8">
        <f>IF(C185="","",IFERROR(VLOOKUP(C185,Insumos!$A:$G,7,FALSE),100))</f>
      </c>
      <c r="G185" s="9">
        <f>IF(C185="","",IFERROR(VLOOKUP(C185,Insumos!$A:$J,10,FALSE),IFERROR(VLOOKUP(C185,Preparos!$A:$F,6,FALSE),0)))</f>
      </c>
      <c r="H185" s="10">
        <f>IF(OR(D185="",G185="",F185=0),"",D185*G185*(100/F185))</f>
      </c>
      <c r="I185" s="5"/>
    </row>
    <row r="186" spans="1:9" x14ac:dyDescent="0.25">
      <c r="A186" s="7"/>
      <c r="B186" s="8">
        <f>IF(C186="","",IF(ISNUMBER(MATCH(C186,Insumos!$A:$A,0)),"insumo",IF(ISNUMBER(MATCH(C186,Preparos!$A:$A,0)),"preparo","")))</f>
      </c>
      <c r="C186" s="7"/>
      <c r="D186" s="7"/>
      <c r="E186" s="8">
        <f>IF(C186="","",IFERROR(VLOOKUP(C186,Insumos!$A:$I,9,FALSE),IFERROR(VLOOKUP(C186,Preparos!$A:$D,4,FALSE),"")))</f>
      </c>
      <c r="F186" s="8">
        <f>IF(C186="","",IFERROR(VLOOKUP(C186,Insumos!$A:$G,7,FALSE),100))</f>
      </c>
      <c r="G186" s="9">
        <f>IF(C186="","",IFERROR(VLOOKUP(C186,Insumos!$A:$J,10,FALSE),IFERROR(VLOOKUP(C186,Preparos!$A:$F,6,FALSE),0)))</f>
      </c>
      <c r="H186" s="10">
        <f>IF(OR(D186="",G186="",F186=0),"",D186*G186*(100/F186))</f>
      </c>
      <c r="I186" s="5"/>
    </row>
    <row r="187" spans="1:9" x14ac:dyDescent="0.25">
      <c r="A187" s="7"/>
      <c r="B187" s="8">
        <f>IF(C187="","",IF(ISNUMBER(MATCH(C187,Insumos!$A:$A,0)),"insumo",IF(ISNUMBER(MATCH(C187,Preparos!$A:$A,0)),"preparo","")))</f>
      </c>
      <c r="C187" s="7"/>
      <c r="D187" s="7"/>
      <c r="E187" s="8">
        <f>IF(C187="","",IFERROR(VLOOKUP(C187,Insumos!$A:$I,9,FALSE),IFERROR(VLOOKUP(C187,Preparos!$A:$D,4,FALSE),"")))</f>
      </c>
      <c r="F187" s="8">
        <f>IF(C187="","",IFERROR(VLOOKUP(C187,Insumos!$A:$G,7,FALSE),100))</f>
      </c>
      <c r="G187" s="9">
        <f>IF(C187="","",IFERROR(VLOOKUP(C187,Insumos!$A:$J,10,FALSE),IFERROR(VLOOKUP(C187,Preparos!$A:$F,6,FALSE),0)))</f>
      </c>
      <c r="H187" s="10">
        <f>IF(OR(D187="",G187="",F187=0),"",D187*G187*(100/F187))</f>
      </c>
      <c r="I187" s="5"/>
    </row>
    <row r="188" spans="1:9" x14ac:dyDescent="0.25">
      <c r="A188" s="7"/>
      <c r="B188" s="8">
        <f>IF(C188="","",IF(ISNUMBER(MATCH(C188,Insumos!$A:$A,0)),"insumo",IF(ISNUMBER(MATCH(C188,Preparos!$A:$A,0)),"preparo","")))</f>
      </c>
      <c r="C188" s="7"/>
      <c r="D188" s="7"/>
      <c r="E188" s="8">
        <f>IF(C188="","",IFERROR(VLOOKUP(C188,Insumos!$A:$I,9,FALSE),IFERROR(VLOOKUP(C188,Preparos!$A:$D,4,FALSE),"")))</f>
      </c>
      <c r="F188" s="8">
        <f>IF(C188="","",IFERROR(VLOOKUP(C188,Insumos!$A:$G,7,FALSE),100))</f>
      </c>
      <c r="G188" s="9">
        <f>IF(C188="","",IFERROR(VLOOKUP(C188,Insumos!$A:$J,10,FALSE),IFERROR(VLOOKUP(C188,Preparos!$A:$F,6,FALSE),0)))</f>
      </c>
      <c r="H188" s="10">
        <f>IF(OR(D188="",G188="",F188=0),"",D188*G188*(100/F188))</f>
      </c>
      <c r="I188" s="5"/>
    </row>
    <row r="189" spans="1:9" x14ac:dyDescent="0.25">
      <c r="A189" s="7"/>
      <c r="B189" s="8">
        <f>IF(C189="","",IF(ISNUMBER(MATCH(C189,Insumos!$A:$A,0)),"insumo",IF(ISNUMBER(MATCH(C189,Preparos!$A:$A,0)),"preparo","")))</f>
      </c>
      <c r="C189" s="7"/>
      <c r="D189" s="7"/>
      <c r="E189" s="8">
        <f>IF(C189="","",IFERROR(VLOOKUP(C189,Insumos!$A:$I,9,FALSE),IFERROR(VLOOKUP(C189,Preparos!$A:$D,4,FALSE),"")))</f>
      </c>
      <c r="F189" s="8">
        <f>IF(C189="","",IFERROR(VLOOKUP(C189,Insumos!$A:$G,7,FALSE),100))</f>
      </c>
      <c r="G189" s="9">
        <f>IF(C189="","",IFERROR(VLOOKUP(C189,Insumos!$A:$J,10,FALSE),IFERROR(VLOOKUP(C189,Preparos!$A:$F,6,FALSE),0)))</f>
      </c>
      <c r="H189" s="10">
        <f>IF(OR(D189="",G189="",F189=0),"",D189*G189*(100/F189))</f>
      </c>
      <c r="I189" s="5"/>
    </row>
    <row r="190" spans="1:9" x14ac:dyDescent="0.25">
      <c r="A190" s="7"/>
      <c r="B190" s="8">
        <f>IF(C190="","",IF(ISNUMBER(MATCH(C190,Insumos!$A:$A,0)),"insumo",IF(ISNUMBER(MATCH(C190,Preparos!$A:$A,0)),"preparo","")))</f>
      </c>
      <c r="C190" s="7"/>
      <c r="D190" s="7"/>
      <c r="E190" s="8">
        <f>IF(C190="","",IFERROR(VLOOKUP(C190,Insumos!$A:$I,9,FALSE),IFERROR(VLOOKUP(C190,Preparos!$A:$D,4,FALSE),"")))</f>
      </c>
      <c r="F190" s="8">
        <f>IF(C190="","",IFERROR(VLOOKUP(C190,Insumos!$A:$G,7,FALSE),100))</f>
      </c>
      <c r="G190" s="9">
        <f>IF(C190="","",IFERROR(VLOOKUP(C190,Insumos!$A:$J,10,FALSE),IFERROR(VLOOKUP(C190,Preparos!$A:$F,6,FALSE),0)))</f>
      </c>
      <c r="H190" s="10">
        <f>IF(OR(D190="",G190="",F190=0),"",D190*G190*(100/F190))</f>
      </c>
      <c r="I190" s="5"/>
    </row>
    <row r="191" spans="1:9" x14ac:dyDescent="0.25">
      <c r="A191" s="7"/>
      <c r="B191" s="8">
        <f>IF(C191="","",IF(ISNUMBER(MATCH(C191,Insumos!$A:$A,0)),"insumo",IF(ISNUMBER(MATCH(C191,Preparos!$A:$A,0)),"preparo","")))</f>
      </c>
      <c r="C191" s="7"/>
      <c r="D191" s="7"/>
      <c r="E191" s="8">
        <f>IF(C191="","",IFERROR(VLOOKUP(C191,Insumos!$A:$I,9,FALSE),IFERROR(VLOOKUP(C191,Preparos!$A:$D,4,FALSE),"")))</f>
      </c>
      <c r="F191" s="8">
        <f>IF(C191="","",IFERROR(VLOOKUP(C191,Insumos!$A:$G,7,FALSE),100))</f>
      </c>
      <c r="G191" s="9">
        <f>IF(C191="","",IFERROR(VLOOKUP(C191,Insumos!$A:$J,10,FALSE),IFERROR(VLOOKUP(C191,Preparos!$A:$F,6,FALSE),0)))</f>
      </c>
      <c r="H191" s="10">
        <f>IF(OR(D191="",G191="",F191=0),"",D191*G191*(100/F191))</f>
      </c>
      <c r="I191" s="5"/>
    </row>
    <row r="192" spans="1:9" x14ac:dyDescent="0.25">
      <c r="A192" s="7"/>
      <c r="B192" s="8">
        <f>IF(C192="","",IF(ISNUMBER(MATCH(C192,Insumos!$A:$A,0)),"insumo",IF(ISNUMBER(MATCH(C192,Preparos!$A:$A,0)),"preparo","")))</f>
      </c>
      <c r="C192" s="7"/>
      <c r="D192" s="7"/>
      <c r="E192" s="8">
        <f>IF(C192="","",IFERROR(VLOOKUP(C192,Insumos!$A:$I,9,FALSE),IFERROR(VLOOKUP(C192,Preparos!$A:$D,4,FALSE),"")))</f>
      </c>
      <c r="F192" s="8">
        <f>IF(C192="","",IFERROR(VLOOKUP(C192,Insumos!$A:$G,7,FALSE),100))</f>
      </c>
      <c r="G192" s="9">
        <f>IF(C192="","",IFERROR(VLOOKUP(C192,Insumos!$A:$J,10,FALSE),IFERROR(VLOOKUP(C192,Preparos!$A:$F,6,FALSE),0)))</f>
      </c>
      <c r="H192" s="10">
        <f>IF(OR(D192="",G192="",F192=0),"",D192*G192*(100/F192))</f>
      </c>
      <c r="I192" s="5"/>
    </row>
    <row r="193" spans="1:9" x14ac:dyDescent="0.25">
      <c r="A193" s="7"/>
      <c r="B193" s="8">
        <f>IF(C193="","",IF(ISNUMBER(MATCH(C193,Insumos!$A:$A,0)),"insumo",IF(ISNUMBER(MATCH(C193,Preparos!$A:$A,0)),"preparo","")))</f>
      </c>
      <c r="C193" s="7"/>
      <c r="D193" s="7"/>
      <c r="E193" s="8">
        <f>IF(C193="","",IFERROR(VLOOKUP(C193,Insumos!$A:$I,9,FALSE),IFERROR(VLOOKUP(C193,Preparos!$A:$D,4,FALSE),"")))</f>
      </c>
      <c r="F193" s="8">
        <f>IF(C193="","",IFERROR(VLOOKUP(C193,Insumos!$A:$G,7,FALSE),100))</f>
      </c>
      <c r="G193" s="9">
        <f>IF(C193="","",IFERROR(VLOOKUP(C193,Insumos!$A:$J,10,FALSE),IFERROR(VLOOKUP(C193,Preparos!$A:$F,6,FALSE),0)))</f>
      </c>
      <c r="H193" s="10">
        <f>IF(OR(D193="",G193="",F193=0),"",D193*G193*(100/F193))</f>
      </c>
      <c r="I193" s="5"/>
    </row>
    <row r="194" spans="1:9" x14ac:dyDescent="0.25">
      <c r="A194" s="7"/>
      <c r="B194" s="8">
        <f>IF(C194="","",IF(ISNUMBER(MATCH(C194,Insumos!$A:$A,0)),"insumo",IF(ISNUMBER(MATCH(C194,Preparos!$A:$A,0)),"preparo","")))</f>
      </c>
      <c r="C194" s="7"/>
      <c r="D194" s="7"/>
      <c r="E194" s="8">
        <f>IF(C194="","",IFERROR(VLOOKUP(C194,Insumos!$A:$I,9,FALSE),IFERROR(VLOOKUP(C194,Preparos!$A:$D,4,FALSE),"")))</f>
      </c>
      <c r="F194" s="8">
        <f>IF(C194="","",IFERROR(VLOOKUP(C194,Insumos!$A:$G,7,FALSE),100))</f>
      </c>
      <c r="G194" s="9">
        <f>IF(C194="","",IFERROR(VLOOKUP(C194,Insumos!$A:$J,10,FALSE),IFERROR(VLOOKUP(C194,Preparos!$A:$F,6,FALSE),0)))</f>
      </c>
      <c r="H194" s="10">
        <f>IF(OR(D194="",G194="",F194=0),"",D194*G194*(100/F194))</f>
      </c>
      <c r="I194" s="5"/>
    </row>
    <row r="195" spans="1:9" x14ac:dyDescent="0.25">
      <c r="A195" s="7"/>
      <c r="B195" s="8">
        <f>IF(C195="","",IF(ISNUMBER(MATCH(C195,Insumos!$A:$A,0)),"insumo",IF(ISNUMBER(MATCH(C195,Preparos!$A:$A,0)),"preparo","")))</f>
      </c>
      <c r="C195" s="7"/>
      <c r="D195" s="7"/>
      <c r="E195" s="8">
        <f>IF(C195="","",IFERROR(VLOOKUP(C195,Insumos!$A:$I,9,FALSE),IFERROR(VLOOKUP(C195,Preparos!$A:$D,4,FALSE),"")))</f>
      </c>
      <c r="F195" s="8">
        <f>IF(C195="","",IFERROR(VLOOKUP(C195,Insumos!$A:$G,7,FALSE),100))</f>
      </c>
      <c r="G195" s="9">
        <f>IF(C195="","",IFERROR(VLOOKUP(C195,Insumos!$A:$J,10,FALSE),IFERROR(VLOOKUP(C195,Preparos!$A:$F,6,FALSE),0)))</f>
      </c>
      <c r="H195" s="10">
        <f>IF(OR(D195="",G195="",F195=0),"",D195*G195*(100/F195))</f>
      </c>
      <c r="I195" s="5"/>
    </row>
    <row r="196" spans="1:9" x14ac:dyDescent="0.25">
      <c r="A196" s="7"/>
      <c r="B196" s="8">
        <f>IF(C196="","",IF(ISNUMBER(MATCH(C196,Insumos!$A:$A,0)),"insumo",IF(ISNUMBER(MATCH(C196,Preparos!$A:$A,0)),"preparo","")))</f>
      </c>
      <c r="C196" s="7"/>
      <c r="D196" s="7"/>
      <c r="E196" s="8">
        <f>IF(C196="","",IFERROR(VLOOKUP(C196,Insumos!$A:$I,9,FALSE),IFERROR(VLOOKUP(C196,Preparos!$A:$D,4,FALSE),"")))</f>
      </c>
      <c r="F196" s="8">
        <f>IF(C196="","",IFERROR(VLOOKUP(C196,Insumos!$A:$G,7,FALSE),100))</f>
      </c>
      <c r="G196" s="9">
        <f>IF(C196="","",IFERROR(VLOOKUP(C196,Insumos!$A:$J,10,FALSE),IFERROR(VLOOKUP(C196,Preparos!$A:$F,6,FALSE),0)))</f>
      </c>
      <c r="H196" s="10">
        <f>IF(OR(D196="",G196="",F196=0),"",D196*G196*(100/F196))</f>
      </c>
      <c r="I196" s="5"/>
    </row>
    <row r="197" spans="1:9" x14ac:dyDescent="0.25">
      <c r="A197" s="7"/>
      <c r="B197" s="8">
        <f>IF(C197="","",IF(ISNUMBER(MATCH(C197,Insumos!$A:$A,0)),"insumo",IF(ISNUMBER(MATCH(C197,Preparos!$A:$A,0)),"preparo","")))</f>
      </c>
      <c r="C197" s="7"/>
      <c r="D197" s="7"/>
      <c r="E197" s="8">
        <f>IF(C197="","",IFERROR(VLOOKUP(C197,Insumos!$A:$I,9,FALSE),IFERROR(VLOOKUP(C197,Preparos!$A:$D,4,FALSE),"")))</f>
      </c>
      <c r="F197" s="8">
        <f>IF(C197="","",IFERROR(VLOOKUP(C197,Insumos!$A:$G,7,FALSE),100))</f>
      </c>
      <c r="G197" s="9">
        <f>IF(C197="","",IFERROR(VLOOKUP(C197,Insumos!$A:$J,10,FALSE),IFERROR(VLOOKUP(C197,Preparos!$A:$F,6,FALSE),0)))</f>
      </c>
      <c r="H197" s="10">
        <f>IF(OR(D197="",G197="",F197=0),"",D197*G197*(100/F197))</f>
      </c>
      <c r="I197" s="5"/>
    </row>
    <row r="198" spans="1:9" x14ac:dyDescent="0.25">
      <c r="A198" s="7"/>
      <c r="B198" s="8">
        <f>IF(C198="","",IF(ISNUMBER(MATCH(C198,Insumos!$A:$A,0)),"insumo",IF(ISNUMBER(MATCH(C198,Preparos!$A:$A,0)),"preparo","")))</f>
      </c>
      <c r="C198" s="7"/>
      <c r="D198" s="7"/>
      <c r="E198" s="8">
        <f>IF(C198="","",IFERROR(VLOOKUP(C198,Insumos!$A:$I,9,FALSE),IFERROR(VLOOKUP(C198,Preparos!$A:$D,4,FALSE),"")))</f>
      </c>
      <c r="F198" s="8">
        <f>IF(C198="","",IFERROR(VLOOKUP(C198,Insumos!$A:$G,7,FALSE),100))</f>
      </c>
      <c r="G198" s="9">
        <f>IF(C198="","",IFERROR(VLOOKUP(C198,Insumos!$A:$J,10,FALSE),IFERROR(VLOOKUP(C198,Preparos!$A:$F,6,FALSE),0)))</f>
      </c>
      <c r="H198" s="10">
        <f>IF(OR(D198="",G198="",F198=0),"",D198*G198*(100/F198))</f>
      </c>
      <c r="I198" s="5"/>
    </row>
    <row r="199" spans="1:9" x14ac:dyDescent="0.25">
      <c r="A199" s="7"/>
      <c r="B199" s="8">
        <f>IF(C199="","",IF(ISNUMBER(MATCH(C199,Insumos!$A:$A,0)),"insumo",IF(ISNUMBER(MATCH(C199,Preparos!$A:$A,0)),"preparo","")))</f>
      </c>
      <c r="C199" s="7"/>
      <c r="D199" s="7"/>
      <c r="E199" s="8">
        <f>IF(C199="","",IFERROR(VLOOKUP(C199,Insumos!$A:$I,9,FALSE),IFERROR(VLOOKUP(C199,Preparos!$A:$D,4,FALSE),"")))</f>
      </c>
      <c r="F199" s="8">
        <f>IF(C199="","",IFERROR(VLOOKUP(C199,Insumos!$A:$G,7,FALSE),100))</f>
      </c>
      <c r="G199" s="9">
        <f>IF(C199="","",IFERROR(VLOOKUP(C199,Insumos!$A:$J,10,FALSE),IFERROR(VLOOKUP(C199,Preparos!$A:$F,6,FALSE),0)))</f>
      </c>
      <c r="H199" s="10">
        <f>IF(OR(D199="",G199="",F199=0),"",D199*G199*(100/F199))</f>
      </c>
      <c r="I199" s="5"/>
    </row>
    <row r="200" spans="1:9" x14ac:dyDescent="0.25">
      <c r="A200" s="7"/>
      <c r="B200" s="8">
        <f>IF(C200="","",IF(ISNUMBER(MATCH(C200,Insumos!$A:$A,0)),"insumo",IF(ISNUMBER(MATCH(C200,Preparos!$A:$A,0)),"preparo","")))</f>
      </c>
      <c r="C200" s="7"/>
      <c r="D200" s="7"/>
      <c r="E200" s="8">
        <f>IF(C200="","",IFERROR(VLOOKUP(C200,Insumos!$A:$I,9,FALSE),IFERROR(VLOOKUP(C200,Preparos!$A:$D,4,FALSE),"")))</f>
      </c>
      <c r="F200" s="8">
        <f>IF(C200="","",IFERROR(VLOOKUP(C200,Insumos!$A:$G,7,FALSE),100))</f>
      </c>
      <c r="G200" s="9">
        <f>IF(C200="","",IFERROR(VLOOKUP(C200,Insumos!$A:$J,10,FALSE),IFERROR(VLOOKUP(C200,Preparos!$A:$F,6,FALSE),0)))</f>
      </c>
      <c r="H200" s="10">
        <f>IF(OR(D200="",G200="",F200=0),"",D200*G200*(100/F200))</f>
      </c>
      <c r="I200" s="5"/>
    </row>
    <row r="201" spans="1:9" x14ac:dyDescent="0.25">
      <c r="A201" s="7"/>
      <c r="B201" s="8">
        <f>IF(C201="","",IF(ISNUMBER(MATCH(C201,Insumos!$A:$A,0)),"insumo",IF(ISNUMBER(MATCH(C201,Preparos!$A:$A,0)),"preparo","")))</f>
      </c>
      <c r="C201" s="7"/>
      <c r="D201" s="7"/>
      <c r="E201" s="8">
        <f>IF(C201="","",IFERROR(VLOOKUP(C201,Insumos!$A:$I,9,FALSE),IFERROR(VLOOKUP(C201,Preparos!$A:$D,4,FALSE),"")))</f>
      </c>
      <c r="F201" s="8">
        <f>IF(C201="","",IFERROR(VLOOKUP(C201,Insumos!$A:$G,7,FALSE),100))</f>
      </c>
      <c r="G201" s="9">
        <f>IF(C201="","",IFERROR(VLOOKUP(C201,Insumos!$A:$J,10,FALSE),IFERROR(VLOOKUP(C201,Preparos!$A:$F,6,FALSE),0)))</f>
      </c>
      <c r="H201" s="10">
        <f>IF(OR(D201="",G201="",F201=0),"",D201*G201*(100/F201))</f>
      </c>
      <c r="I201" s="5"/>
    </row>
    <row r="202" spans="1:9" x14ac:dyDescent="0.25">
      <c r="A202" s="7"/>
      <c r="B202" s="8">
        <f>IF(C202="","",IF(ISNUMBER(MATCH(C202,Insumos!$A:$A,0)),"insumo",IF(ISNUMBER(MATCH(C202,Preparos!$A:$A,0)),"preparo","")))</f>
      </c>
      <c r="C202" s="7"/>
      <c r="D202" s="7"/>
      <c r="E202" s="8">
        <f>IF(C202="","",IFERROR(VLOOKUP(C202,Insumos!$A:$I,9,FALSE),IFERROR(VLOOKUP(C202,Preparos!$A:$D,4,FALSE),"")))</f>
      </c>
      <c r="F202" s="8">
        <f>IF(C202="","",IFERROR(VLOOKUP(C202,Insumos!$A:$G,7,FALSE),100))</f>
      </c>
      <c r="G202" s="9">
        <f>IF(C202="","",IFERROR(VLOOKUP(C202,Insumos!$A:$J,10,FALSE),IFERROR(VLOOKUP(C202,Preparos!$A:$F,6,FALSE),0)))</f>
      </c>
      <c r="H202" s="10">
        <f>IF(OR(D202="",G202="",F202=0),"",D202*G202*(100/F202))</f>
      </c>
      <c r="I202" s="5"/>
    </row>
    <row r="203" spans="1:9" x14ac:dyDescent="0.25">
      <c r="A203" s="7"/>
      <c r="B203" s="8">
        <f>IF(C203="","",IF(ISNUMBER(MATCH(C203,Insumos!$A:$A,0)),"insumo",IF(ISNUMBER(MATCH(C203,Preparos!$A:$A,0)),"preparo","")))</f>
      </c>
      <c r="C203" s="7"/>
      <c r="D203" s="7"/>
      <c r="E203" s="8">
        <f>IF(C203="","",IFERROR(VLOOKUP(C203,Insumos!$A:$I,9,FALSE),IFERROR(VLOOKUP(C203,Preparos!$A:$D,4,FALSE),"")))</f>
      </c>
      <c r="F203" s="8">
        <f>IF(C203="","",IFERROR(VLOOKUP(C203,Insumos!$A:$G,7,FALSE),100))</f>
      </c>
      <c r="G203" s="9">
        <f>IF(C203="","",IFERROR(VLOOKUP(C203,Insumos!$A:$J,10,FALSE),IFERROR(VLOOKUP(C203,Preparos!$A:$F,6,FALSE),0)))</f>
      </c>
      <c r="H203" s="10">
        <f>IF(OR(D203="",G203="",F203=0),"",D203*G203*(100/F203))</f>
      </c>
      <c r="I203" s="5"/>
    </row>
    <row r="204" spans="1:9" x14ac:dyDescent="0.25">
      <c r="A204" s="7"/>
      <c r="B204" s="8">
        <f>IF(C204="","",IF(ISNUMBER(MATCH(C204,Insumos!$A:$A,0)),"insumo",IF(ISNUMBER(MATCH(C204,Preparos!$A:$A,0)),"preparo","")))</f>
      </c>
      <c r="C204" s="7"/>
      <c r="D204" s="7"/>
      <c r="E204" s="8">
        <f>IF(C204="","",IFERROR(VLOOKUP(C204,Insumos!$A:$I,9,FALSE),IFERROR(VLOOKUP(C204,Preparos!$A:$D,4,FALSE),"")))</f>
      </c>
      <c r="F204" s="8">
        <f>IF(C204="","",IFERROR(VLOOKUP(C204,Insumos!$A:$G,7,FALSE),100))</f>
      </c>
      <c r="G204" s="9">
        <f>IF(C204="","",IFERROR(VLOOKUP(C204,Insumos!$A:$J,10,FALSE),IFERROR(VLOOKUP(C204,Preparos!$A:$F,6,FALSE),0)))</f>
      </c>
      <c r="H204" s="10">
        <f>IF(OR(D204="",G204="",F204=0),"",D204*G204*(100/F204))</f>
      </c>
      <c r="I204" s="5"/>
    </row>
    <row r="205" spans="1:9" x14ac:dyDescent="0.25">
      <c r="A205" s="7"/>
      <c r="B205" s="8">
        <f>IF(C205="","",IF(ISNUMBER(MATCH(C205,Insumos!$A:$A,0)),"insumo",IF(ISNUMBER(MATCH(C205,Preparos!$A:$A,0)),"preparo","")))</f>
      </c>
      <c r="C205" s="7"/>
      <c r="D205" s="7"/>
      <c r="E205" s="8">
        <f>IF(C205="","",IFERROR(VLOOKUP(C205,Insumos!$A:$I,9,FALSE),IFERROR(VLOOKUP(C205,Preparos!$A:$D,4,FALSE),"")))</f>
      </c>
      <c r="F205" s="8">
        <f>IF(C205="","",IFERROR(VLOOKUP(C205,Insumos!$A:$G,7,FALSE),100))</f>
      </c>
      <c r="G205" s="9">
        <f>IF(C205="","",IFERROR(VLOOKUP(C205,Insumos!$A:$J,10,FALSE),IFERROR(VLOOKUP(C205,Preparos!$A:$F,6,FALSE),0)))</f>
      </c>
      <c r="H205" s="10">
        <f>IF(OR(D205="",G205="",F205=0),"",D205*G205*(100/F205))</f>
      </c>
      <c r="I205" s="5"/>
    </row>
    <row r="206" spans="1:9" x14ac:dyDescent="0.25">
      <c r="A206" s="7"/>
      <c r="B206" s="8">
        <f>IF(C206="","",IF(ISNUMBER(MATCH(C206,Insumos!$A:$A,0)),"insumo",IF(ISNUMBER(MATCH(C206,Preparos!$A:$A,0)),"preparo","")))</f>
      </c>
      <c r="C206" s="7"/>
      <c r="D206" s="7"/>
      <c r="E206" s="8">
        <f>IF(C206="","",IFERROR(VLOOKUP(C206,Insumos!$A:$I,9,FALSE),IFERROR(VLOOKUP(C206,Preparos!$A:$D,4,FALSE),"")))</f>
      </c>
      <c r="F206" s="8">
        <f>IF(C206="","",IFERROR(VLOOKUP(C206,Insumos!$A:$G,7,FALSE),100))</f>
      </c>
      <c r="G206" s="9">
        <f>IF(C206="","",IFERROR(VLOOKUP(C206,Insumos!$A:$J,10,FALSE),IFERROR(VLOOKUP(C206,Preparos!$A:$F,6,FALSE),0)))</f>
      </c>
      <c r="H206" s="10">
        <f>IF(OR(D206="",G206="",F206=0),"",D206*G206*(100/F206))</f>
      </c>
      <c r="I206" s="5"/>
    </row>
    <row r="207" spans="1:9" x14ac:dyDescent="0.25">
      <c r="A207" s="7"/>
      <c r="B207" s="8">
        <f>IF(C207="","",IF(ISNUMBER(MATCH(C207,Insumos!$A:$A,0)),"insumo",IF(ISNUMBER(MATCH(C207,Preparos!$A:$A,0)),"preparo","")))</f>
      </c>
      <c r="C207" s="7"/>
      <c r="D207" s="7"/>
      <c r="E207" s="8">
        <f>IF(C207="","",IFERROR(VLOOKUP(C207,Insumos!$A:$I,9,FALSE),IFERROR(VLOOKUP(C207,Preparos!$A:$D,4,FALSE),"")))</f>
      </c>
      <c r="F207" s="8">
        <f>IF(C207="","",IFERROR(VLOOKUP(C207,Insumos!$A:$G,7,FALSE),100))</f>
      </c>
      <c r="G207" s="9">
        <f>IF(C207="","",IFERROR(VLOOKUP(C207,Insumos!$A:$J,10,FALSE),IFERROR(VLOOKUP(C207,Preparos!$A:$F,6,FALSE),0)))</f>
      </c>
      <c r="H207" s="10">
        <f>IF(OR(D207="",G207="",F207=0),"",D207*G207*(100/F207))</f>
      </c>
      <c r="I207" s="5"/>
    </row>
    <row r="208" spans="1:9" x14ac:dyDescent="0.25">
      <c r="A208" s="7"/>
      <c r="B208" s="8">
        <f>IF(C208="","",IF(ISNUMBER(MATCH(C208,Insumos!$A:$A,0)),"insumo",IF(ISNUMBER(MATCH(C208,Preparos!$A:$A,0)),"preparo","")))</f>
      </c>
      <c r="C208" s="7"/>
      <c r="D208" s="7"/>
      <c r="E208" s="8">
        <f>IF(C208="","",IFERROR(VLOOKUP(C208,Insumos!$A:$I,9,FALSE),IFERROR(VLOOKUP(C208,Preparos!$A:$D,4,FALSE),"")))</f>
      </c>
      <c r="F208" s="8">
        <f>IF(C208="","",IFERROR(VLOOKUP(C208,Insumos!$A:$G,7,FALSE),100))</f>
      </c>
      <c r="G208" s="9">
        <f>IF(C208="","",IFERROR(VLOOKUP(C208,Insumos!$A:$J,10,FALSE),IFERROR(VLOOKUP(C208,Preparos!$A:$F,6,FALSE),0)))</f>
      </c>
      <c r="H208" s="10">
        <f>IF(OR(D208="",G208="",F208=0),"",D208*G208*(100/F208))</f>
      </c>
      <c r="I208" s="5"/>
    </row>
    <row r="209" spans="1:9" x14ac:dyDescent="0.25">
      <c r="A209" s="7"/>
      <c r="B209" s="8">
        <f>IF(C209="","",IF(ISNUMBER(MATCH(C209,Insumos!$A:$A,0)),"insumo",IF(ISNUMBER(MATCH(C209,Preparos!$A:$A,0)),"preparo","")))</f>
      </c>
      <c r="C209" s="7"/>
      <c r="D209" s="7"/>
      <c r="E209" s="8">
        <f>IF(C209="","",IFERROR(VLOOKUP(C209,Insumos!$A:$I,9,FALSE),IFERROR(VLOOKUP(C209,Preparos!$A:$D,4,FALSE),"")))</f>
      </c>
      <c r="F209" s="8">
        <f>IF(C209="","",IFERROR(VLOOKUP(C209,Insumos!$A:$G,7,FALSE),100))</f>
      </c>
      <c r="G209" s="9">
        <f>IF(C209="","",IFERROR(VLOOKUP(C209,Insumos!$A:$J,10,FALSE),IFERROR(VLOOKUP(C209,Preparos!$A:$F,6,FALSE),0)))</f>
      </c>
      <c r="H209" s="10">
        <f>IF(OR(D209="",G209="",F209=0),"",D209*G209*(100/F209))</f>
      </c>
      <c r="I209" s="5"/>
    </row>
    <row r="210" spans="1:9" x14ac:dyDescent="0.25">
      <c r="A210" s="7"/>
      <c r="B210" s="8">
        <f>IF(C210="","",IF(ISNUMBER(MATCH(C210,Insumos!$A:$A,0)),"insumo",IF(ISNUMBER(MATCH(C210,Preparos!$A:$A,0)),"preparo","")))</f>
      </c>
      <c r="C210" s="7"/>
      <c r="D210" s="7"/>
      <c r="E210" s="8">
        <f>IF(C210="","",IFERROR(VLOOKUP(C210,Insumos!$A:$I,9,FALSE),IFERROR(VLOOKUP(C210,Preparos!$A:$D,4,FALSE),"")))</f>
      </c>
      <c r="F210" s="8">
        <f>IF(C210="","",IFERROR(VLOOKUP(C210,Insumos!$A:$G,7,FALSE),100))</f>
      </c>
      <c r="G210" s="9">
        <f>IF(C210="","",IFERROR(VLOOKUP(C210,Insumos!$A:$J,10,FALSE),IFERROR(VLOOKUP(C210,Preparos!$A:$F,6,FALSE),0)))</f>
      </c>
      <c r="H210" s="10">
        <f>IF(OR(D210="",G210="",F210=0),"",D210*G210*(100/F210))</f>
      </c>
      <c r="I210" s="5"/>
    </row>
    <row r="211" spans="1:9" x14ac:dyDescent="0.25">
      <c r="A211" s="7"/>
      <c r="B211" s="8">
        <f>IF(C211="","",IF(ISNUMBER(MATCH(C211,Insumos!$A:$A,0)),"insumo",IF(ISNUMBER(MATCH(C211,Preparos!$A:$A,0)),"preparo","")))</f>
      </c>
      <c r="C211" s="7"/>
      <c r="D211" s="7"/>
      <c r="E211" s="8">
        <f>IF(C211="","",IFERROR(VLOOKUP(C211,Insumos!$A:$I,9,FALSE),IFERROR(VLOOKUP(C211,Preparos!$A:$D,4,FALSE),"")))</f>
      </c>
      <c r="F211" s="8">
        <f>IF(C211="","",IFERROR(VLOOKUP(C211,Insumos!$A:$G,7,FALSE),100))</f>
      </c>
      <c r="G211" s="9">
        <f>IF(C211="","",IFERROR(VLOOKUP(C211,Insumos!$A:$J,10,FALSE),IFERROR(VLOOKUP(C211,Preparos!$A:$F,6,FALSE),0)))</f>
      </c>
      <c r="H211" s="10">
        <f>IF(OR(D211="",G211="",F211=0),"",D211*G211*(100/F211))</f>
      </c>
      <c r="I211" s="5"/>
    </row>
    <row r="212" spans="1:9" x14ac:dyDescent="0.25">
      <c r="A212" s="7"/>
      <c r="B212" s="8">
        <f>IF(C212="","",IF(ISNUMBER(MATCH(C212,Insumos!$A:$A,0)),"insumo",IF(ISNUMBER(MATCH(C212,Preparos!$A:$A,0)),"preparo","")))</f>
      </c>
      <c r="C212" s="7"/>
      <c r="D212" s="7"/>
      <c r="E212" s="8">
        <f>IF(C212="","",IFERROR(VLOOKUP(C212,Insumos!$A:$I,9,FALSE),IFERROR(VLOOKUP(C212,Preparos!$A:$D,4,FALSE),"")))</f>
      </c>
      <c r="F212" s="8">
        <f>IF(C212="","",IFERROR(VLOOKUP(C212,Insumos!$A:$G,7,FALSE),100))</f>
      </c>
      <c r="G212" s="9">
        <f>IF(C212="","",IFERROR(VLOOKUP(C212,Insumos!$A:$J,10,FALSE),IFERROR(VLOOKUP(C212,Preparos!$A:$F,6,FALSE),0)))</f>
      </c>
      <c r="H212" s="10">
        <f>IF(OR(D212="",G212="",F212=0),"",D212*G212*(100/F212))</f>
      </c>
      <c r="I212" s="5"/>
    </row>
    <row r="213" spans="1:9" x14ac:dyDescent="0.25">
      <c r="A213" s="7"/>
      <c r="B213" s="8">
        <f>IF(C213="","",IF(ISNUMBER(MATCH(C213,Insumos!$A:$A,0)),"insumo",IF(ISNUMBER(MATCH(C213,Preparos!$A:$A,0)),"preparo","")))</f>
      </c>
      <c r="C213" s="7"/>
      <c r="D213" s="7"/>
      <c r="E213" s="8">
        <f>IF(C213="","",IFERROR(VLOOKUP(C213,Insumos!$A:$I,9,FALSE),IFERROR(VLOOKUP(C213,Preparos!$A:$D,4,FALSE),"")))</f>
      </c>
      <c r="F213" s="8">
        <f>IF(C213="","",IFERROR(VLOOKUP(C213,Insumos!$A:$G,7,FALSE),100))</f>
      </c>
      <c r="G213" s="9">
        <f>IF(C213="","",IFERROR(VLOOKUP(C213,Insumos!$A:$J,10,FALSE),IFERROR(VLOOKUP(C213,Preparos!$A:$F,6,FALSE),0)))</f>
      </c>
      <c r="H213" s="10">
        <f>IF(OR(D213="",G213="",F213=0),"",D213*G213*(100/F213))</f>
      </c>
      <c r="I213" s="5"/>
    </row>
    <row r="214" spans="1:9" x14ac:dyDescent="0.25">
      <c r="A214" s="7"/>
      <c r="B214" s="8">
        <f>IF(C214="","",IF(ISNUMBER(MATCH(C214,Insumos!$A:$A,0)),"insumo",IF(ISNUMBER(MATCH(C214,Preparos!$A:$A,0)),"preparo","")))</f>
      </c>
      <c r="C214" s="7"/>
      <c r="D214" s="7"/>
      <c r="E214" s="8">
        <f>IF(C214="","",IFERROR(VLOOKUP(C214,Insumos!$A:$I,9,FALSE),IFERROR(VLOOKUP(C214,Preparos!$A:$D,4,FALSE),"")))</f>
      </c>
      <c r="F214" s="8">
        <f>IF(C214="","",IFERROR(VLOOKUP(C214,Insumos!$A:$G,7,FALSE),100))</f>
      </c>
      <c r="G214" s="9">
        <f>IF(C214="","",IFERROR(VLOOKUP(C214,Insumos!$A:$J,10,FALSE),IFERROR(VLOOKUP(C214,Preparos!$A:$F,6,FALSE),0)))</f>
      </c>
      <c r="H214" s="10">
        <f>IF(OR(D214="",G214="",F214=0),"",D214*G214*(100/F214))</f>
      </c>
      <c r="I214" s="5"/>
    </row>
    <row r="215" spans="1:9" x14ac:dyDescent="0.25">
      <c r="A215" s="7"/>
      <c r="B215" s="8">
        <f>IF(C215="","",IF(ISNUMBER(MATCH(C215,Insumos!$A:$A,0)),"insumo",IF(ISNUMBER(MATCH(C215,Preparos!$A:$A,0)),"preparo","")))</f>
      </c>
      <c r="C215" s="7"/>
      <c r="D215" s="7"/>
      <c r="E215" s="8">
        <f>IF(C215="","",IFERROR(VLOOKUP(C215,Insumos!$A:$I,9,FALSE),IFERROR(VLOOKUP(C215,Preparos!$A:$D,4,FALSE),"")))</f>
      </c>
      <c r="F215" s="8">
        <f>IF(C215="","",IFERROR(VLOOKUP(C215,Insumos!$A:$G,7,FALSE),100))</f>
      </c>
      <c r="G215" s="9">
        <f>IF(C215="","",IFERROR(VLOOKUP(C215,Insumos!$A:$J,10,FALSE),IFERROR(VLOOKUP(C215,Preparos!$A:$F,6,FALSE),0)))</f>
      </c>
      <c r="H215" s="10">
        <f>IF(OR(D215="",G215="",F215=0),"",D215*G215*(100/F215))</f>
      </c>
      <c r="I215" s="5"/>
    </row>
    <row r="216" spans="1:9" x14ac:dyDescent="0.25">
      <c r="A216" s="7"/>
      <c r="B216" s="8">
        <f>IF(C216="","",IF(ISNUMBER(MATCH(C216,Insumos!$A:$A,0)),"insumo",IF(ISNUMBER(MATCH(C216,Preparos!$A:$A,0)),"preparo","")))</f>
      </c>
      <c r="C216" s="7"/>
      <c r="D216" s="7"/>
      <c r="E216" s="8">
        <f>IF(C216="","",IFERROR(VLOOKUP(C216,Insumos!$A:$I,9,FALSE),IFERROR(VLOOKUP(C216,Preparos!$A:$D,4,FALSE),"")))</f>
      </c>
      <c r="F216" s="8">
        <f>IF(C216="","",IFERROR(VLOOKUP(C216,Insumos!$A:$G,7,FALSE),100))</f>
      </c>
      <c r="G216" s="9">
        <f>IF(C216="","",IFERROR(VLOOKUP(C216,Insumos!$A:$J,10,FALSE),IFERROR(VLOOKUP(C216,Preparos!$A:$F,6,FALSE),0)))</f>
      </c>
      <c r="H216" s="10">
        <f>IF(OR(D216="",G216="",F216=0),"",D216*G216*(100/F216))</f>
      </c>
      <c r="I216" s="5"/>
    </row>
    <row r="217" spans="1:9" x14ac:dyDescent="0.25">
      <c r="A217" s="7"/>
      <c r="B217" s="8">
        <f>IF(C217="","",IF(ISNUMBER(MATCH(C217,Insumos!$A:$A,0)),"insumo",IF(ISNUMBER(MATCH(C217,Preparos!$A:$A,0)),"preparo","")))</f>
      </c>
      <c r="C217" s="7"/>
      <c r="D217" s="7"/>
      <c r="E217" s="8">
        <f>IF(C217="","",IFERROR(VLOOKUP(C217,Insumos!$A:$I,9,FALSE),IFERROR(VLOOKUP(C217,Preparos!$A:$D,4,FALSE),"")))</f>
      </c>
      <c r="F217" s="8">
        <f>IF(C217="","",IFERROR(VLOOKUP(C217,Insumos!$A:$G,7,FALSE),100))</f>
      </c>
      <c r="G217" s="9">
        <f>IF(C217="","",IFERROR(VLOOKUP(C217,Insumos!$A:$J,10,FALSE),IFERROR(VLOOKUP(C217,Preparos!$A:$F,6,FALSE),0)))</f>
      </c>
      <c r="H217" s="10">
        <f>IF(OR(D217="",G217="",F217=0),"",D217*G217*(100/F217))</f>
      </c>
      <c r="I217" s="5"/>
    </row>
    <row r="218" spans="1:9" x14ac:dyDescent="0.25">
      <c r="A218" s="7"/>
      <c r="B218" s="8">
        <f>IF(C218="","",IF(ISNUMBER(MATCH(C218,Insumos!$A:$A,0)),"insumo",IF(ISNUMBER(MATCH(C218,Preparos!$A:$A,0)),"preparo","")))</f>
      </c>
      <c r="C218" s="7"/>
      <c r="D218" s="7"/>
      <c r="E218" s="8">
        <f>IF(C218="","",IFERROR(VLOOKUP(C218,Insumos!$A:$I,9,FALSE),IFERROR(VLOOKUP(C218,Preparos!$A:$D,4,FALSE),"")))</f>
      </c>
      <c r="F218" s="8">
        <f>IF(C218="","",IFERROR(VLOOKUP(C218,Insumos!$A:$G,7,FALSE),100))</f>
      </c>
      <c r="G218" s="9">
        <f>IF(C218="","",IFERROR(VLOOKUP(C218,Insumos!$A:$J,10,FALSE),IFERROR(VLOOKUP(C218,Preparos!$A:$F,6,FALSE),0)))</f>
      </c>
      <c r="H218" s="10">
        <f>IF(OR(D218="",G218="",F218=0),"",D218*G218*(100/F218))</f>
      </c>
      <c r="I218" s="5"/>
    </row>
    <row r="219" spans="1:9" x14ac:dyDescent="0.25">
      <c r="A219" s="7"/>
      <c r="B219" s="8">
        <f>IF(C219="","",IF(ISNUMBER(MATCH(C219,Insumos!$A:$A,0)),"insumo",IF(ISNUMBER(MATCH(C219,Preparos!$A:$A,0)),"preparo","")))</f>
      </c>
      <c r="C219" s="7"/>
      <c r="D219" s="7"/>
      <c r="E219" s="8">
        <f>IF(C219="","",IFERROR(VLOOKUP(C219,Insumos!$A:$I,9,FALSE),IFERROR(VLOOKUP(C219,Preparos!$A:$D,4,FALSE),"")))</f>
      </c>
      <c r="F219" s="8">
        <f>IF(C219="","",IFERROR(VLOOKUP(C219,Insumos!$A:$G,7,FALSE),100))</f>
      </c>
      <c r="G219" s="9">
        <f>IF(C219="","",IFERROR(VLOOKUP(C219,Insumos!$A:$J,10,FALSE),IFERROR(VLOOKUP(C219,Preparos!$A:$F,6,FALSE),0)))</f>
      </c>
      <c r="H219" s="10">
        <f>IF(OR(D219="",G219="",F219=0),"",D219*G219*(100/F219))</f>
      </c>
      <c r="I219" s="5"/>
    </row>
    <row r="220" spans="1:9" x14ac:dyDescent="0.25">
      <c r="A220" s="7"/>
      <c r="B220" s="8">
        <f>IF(C220="","",IF(ISNUMBER(MATCH(C220,Insumos!$A:$A,0)),"insumo",IF(ISNUMBER(MATCH(C220,Preparos!$A:$A,0)),"preparo","")))</f>
      </c>
      <c r="C220" s="7"/>
      <c r="D220" s="7"/>
      <c r="E220" s="8">
        <f>IF(C220="","",IFERROR(VLOOKUP(C220,Insumos!$A:$I,9,FALSE),IFERROR(VLOOKUP(C220,Preparos!$A:$D,4,FALSE),"")))</f>
      </c>
      <c r="F220" s="8">
        <f>IF(C220="","",IFERROR(VLOOKUP(C220,Insumos!$A:$G,7,FALSE),100))</f>
      </c>
      <c r="G220" s="9">
        <f>IF(C220="","",IFERROR(VLOOKUP(C220,Insumos!$A:$J,10,FALSE),IFERROR(VLOOKUP(C220,Preparos!$A:$F,6,FALSE),0)))</f>
      </c>
      <c r="H220" s="10">
        <f>IF(OR(D220="",G220="",F220=0),"",D220*G220*(100/F220))</f>
      </c>
      <c r="I220" s="5"/>
    </row>
    <row r="221" spans="1:9" x14ac:dyDescent="0.25">
      <c r="A221" s="7"/>
      <c r="B221" s="8">
        <f>IF(C221="","",IF(ISNUMBER(MATCH(C221,Insumos!$A:$A,0)),"insumo",IF(ISNUMBER(MATCH(C221,Preparos!$A:$A,0)),"preparo","")))</f>
      </c>
      <c r="C221" s="7"/>
      <c r="D221" s="7"/>
      <c r="E221" s="8">
        <f>IF(C221="","",IFERROR(VLOOKUP(C221,Insumos!$A:$I,9,FALSE),IFERROR(VLOOKUP(C221,Preparos!$A:$D,4,FALSE),"")))</f>
      </c>
      <c r="F221" s="8">
        <f>IF(C221="","",IFERROR(VLOOKUP(C221,Insumos!$A:$G,7,FALSE),100))</f>
      </c>
      <c r="G221" s="9">
        <f>IF(C221="","",IFERROR(VLOOKUP(C221,Insumos!$A:$J,10,FALSE),IFERROR(VLOOKUP(C221,Preparos!$A:$F,6,FALSE),0)))</f>
      </c>
      <c r="H221" s="10">
        <f>IF(OR(D221="",G221="",F221=0),"",D221*G221*(100/F221))</f>
      </c>
      <c r="I221" s="5"/>
    </row>
    <row r="222" spans="1:9" x14ac:dyDescent="0.25">
      <c r="A222" s="7"/>
      <c r="B222" s="8">
        <f>IF(C222="","",IF(ISNUMBER(MATCH(C222,Insumos!$A:$A,0)),"insumo",IF(ISNUMBER(MATCH(C222,Preparos!$A:$A,0)),"preparo","")))</f>
      </c>
      <c r="C222" s="7"/>
      <c r="D222" s="7"/>
      <c r="E222" s="8">
        <f>IF(C222="","",IFERROR(VLOOKUP(C222,Insumos!$A:$I,9,FALSE),IFERROR(VLOOKUP(C222,Preparos!$A:$D,4,FALSE),"")))</f>
      </c>
      <c r="F222" s="8">
        <f>IF(C222="","",IFERROR(VLOOKUP(C222,Insumos!$A:$G,7,FALSE),100))</f>
      </c>
      <c r="G222" s="9">
        <f>IF(C222="","",IFERROR(VLOOKUP(C222,Insumos!$A:$J,10,FALSE),IFERROR(VLOOKUP(C222,Preparos!$A:$F,6,FALSE),0)))</f>
      </c>
      <c r="H222" s="10">
        <f>IF(OR(D222="",G222="",F222=0),"",D222*G222*(100/F222))</f>
      </c>
      <c r="I222" s="5"/>
    </row>
    <row r="223" spans="1:9" x14ac:dyDescent="0.25">
      <c r="A223" s="7"/>
      <c r="B223" s="8">
        <f>IF(C223="","",IF(ISNUMBER(MATCH(C223,Insumos!$A:$A,0)),"insumo",IF(ISNUMBER(MATCH(C223,Preparos!$A:$A,0)),"preparo","")))</f>
      </c>
      <c r="C223" s="7"/>
      <c r="D223" s="7"/>
      <c r="E223" s="8">
        <f>IF(C223="","",IFERROR(VLOOKUP(C223,Insumos!$A:$I,9,FALSE),IFERROR(VLOOKUP(C223,Preparos!$A:$D,4,FALSE),"")))</f>
      </c>
      <c r="F223" s="8">
        <f>IF(C223="","",IFERROR(VLOOKUP(C223,Insumos!$A:$G,7,FALSE),100))</f>
      </c>
      <c r="G223" s="9">
        <f>IF(C223="","",IFERROR(VLOOKUP(C223,Insumos!$A:$J,10,FALSE),IFERROR(VLOOKUP(C223,Preparos!$A:$F,6,FALSE),0)))</f>
      </c>
      <c r="H223" s="10">
        <f>IF(OR(D223="",G223="",F223=0),"",D223*G223*(100/F223))</f>
      </c>
      <c r="I223" s="5"/>
    </row>
    <row r="224" spans="1:9" x14ac:dyDescent="0.25">
      <c r="A224" s="7"/>
      <c r="B224" s="8">
        <f>IF(C224="","",IF(ISNUMBER(MATCH(C224,Insumos!$A:$A,0)),"insumo",IF(ISNUMBER(MATCH(C224,Preparos!$A:$A,0)),"preparo","")))</f>
      </c>
      <c r="C224" s="7"/>
      <c r="D224" s="7"/>
      <c r="E224" s="8">
        <f>IF(C224="","",IFERROR(VLOOKUP(C224,Insumos!$A:$I,9,FALSE),IFERROR(VLOOKUP(C224,Preparos!$A:$D,4,FALSE),"")))</f>
      </c>
      <c r="F224" s="8">
        <f>IF(C224="","",IFERROR(VLOOKUP(C224,Insumos!$A:$G,7,FALSE),100))</f>
      </c>
      <c r="G224" s="9">
        <f>IF(C224="","",IFERROR(VLOOKUP(C224,Insumos!$A:$J,10,FALSE),IFERROR(VLOOKUP(C224,Preparos!$A:$F,6,FALSE),0)))</f>
      </c>
      <c r="H224" s="10">
        <f>IF(OR(D224="",G224="",F224=0),"",D224*G224*(100/F224))</f>
      </c>
      <c r="I224" s="5"/>
    </row>
    <row r="225" spans="1:9" x14ac:dyDescent="0.25">
      <c r="A225" s="7"/>
      <c r="B225" s="8">
        <f>IF(C225="","",IF(ISNUMBER(MATCH(C225,Insumos!$A:$A,0)),"insumo",IF(ISNUMBER(MATCH(C225,Preparos!$A:$A,0)),"preparo","")))</f>
      </c>
      <c r="C225" s="7"/>
      <c r="D225" s="7"/>
      <c r="E225" s="8">
        <f>IF(C225="","",IFERROR(VLOOKUP(C225,Insumos!$A:$I,9,FALSE),IFERROR(VLOOKUP(C225,Preparos!$A:$D,4,FALSE),"")))</f>
      </c>
      <c r="F225" s="8">
        <f>IF(C225="","",IFERROR(VLOOKUP(C225,Insumos!$A:$G,7,FALSE),100))</f>
      </c>
      <c r="G225" s="9">
        <f>IF(C225="","",IFERROR(VLOOKUP(C225,Insumos!$A:$J,10,FALSE),IFERROR(VLOOKUP(C225,Preparos!$A:$F,6,FALSE),0)))</f>
      </c>
      <c r="H225" s="10">
        <f>IF(OR(D225="",G225="",F225=0),"",D225*G225*(100/F225))</f>
      </c>
      <c r="I225" s="5"/>
    </row>
    <row r="226" spans="1:9" x14ac:dyDescent="0.25">
      <c r="A226" s="7"/>
      <c r="B226" s="8">
        <f>IF(C226="","",IF(ISNUMBER(MATCH(C226,Insumos!$A:$A,0)),"insumo",IF(ISNUMBER(MATCH(C226,Preparos!$A:$A,0)),"preparo","")))</f>
      </c>
      <c r="C226" s="7"/>
      <c r="D226" s="7"/>
      <c r="E226" s="8">
        <f>IF(C226="","",IFERROR(VLOOKUP(C226,Insumos!$A:$I,9,FALSE),IFERROR(VLOOKUP(C226,Preparos!$A:$D,4,FALSE),"")))</f>
      </c>
      <c r="F226" s="8">
        <f>IF(C226="","",IFERROR(VLOOKUP(C226,Insumos!$A:$G,7,FALSE),100))</f>
      </c>
      <c r="G226" s="9">
        <f>IF(C226="","",IFERROR(VLOOKUP(C226,Insumos!$A:$J,10,FALSE),IFERROR(VLOOKUP(C226,Preparos!$A:$F,6,FALSE),0)))</f>
      </c>
      <c r="H226" s="10">
        <f>IF(OR(D226="",G226="",F226=0),"",D226*G226*(100/F226))</f>
      </c>
      <c r="I226" s="5"/>
    </row>
    <row r="227" spans="1:9" x14ac:dyDescent="0.25">
      <c r="A227" s="7"/>
      <c r="B227" s="8">
        <f>IF(C227="","",IF(ISNUMBER(MATCH(C227,Insumos!$A:$A,0)),"insumo",IF(ISNUMBER(MATCH(C227,Preparos!$A:$A,0)),"preparo","")))</f>
      </c>
      <c r="C227" s="7"/>
      <c r="D227" s="7"/>
      <c r="E227" s="8">
        <f>IF(C227="","",IFERROR(VLOOKUP(C227,Insumos!$A:$I,9,FALSE),IFERROR(VLOOKUP(C227,Preparos!$A:$D,4,FALSE),"")))</f>
      </c>
      <c r="F227" s="8">
        <f>IF(C227="","",IFERROR(VLOOKUP(C227,Insumos!$A:$G,7,FALSE),100))</f>
      </c>
      <c r="G227" s="9">
        <f>IF(C227="","",IFERROR(VLOOKUP(C227,Insumos!$A:$J,10,FALSE),IFERROR(VLOOKUP(C227,Preparos!$A:$F,6,FALSE),0)))</f>
      </c>
      <c r="H227" s="10">
        <f>IF(OR(D227="",G227="",F227=0),"",D227*G227*(100/F227))</f>
      </c>
      <c r="I227" s="5"/>
    </row>
    <row r="228" spans="1:9" x14ac:dyDescent="0.25">
      <c r="A228" s="7"/>
      <c r="B228" s="8">
        <f>IF(C228="","",IF(ISNUMBER(MATCH(C228,Insumos!$A:$A,0)),"insumo",IF(ISNUMBER(MATCH(C228,Preparos!$A:$A,0)),"preparo","")))</f>
      </c>
      <c r="C228" s="7"/>
      <c r="D228" s="7"/>
      <c r="E228" s="8">
        <f>IF(C228="","",IFERROR(VLOOKUP(C228,Insumos!$A:$I,9,FALSE),IFERROR(VLOOKUP(C228,Preparos!$A:$D,4,FALSE),"")))</f>
      </c>
      <c r="F228" s="8">
        <f>IF(C228="","",IFERROR(VLOOKUP(C228,Insumos!$A:$G,7,FALSE),100))</f>
      </c>
      <c r="G228" s="9">
        <f>IF(C228="","",IFERROR(VLOOKUP(C228,Insumos!$A:$J,10,FALSE),IFERROR(VLOOKUP(C228,Preparos!$A:$F,6,FALSE),0)))</f>
      </c>
      <c r="H228" s="10">
        <f>IF(OR(D228="",G228="",F228=0),"",D228*G228*(100/F228))</f>
      </c>
      <c r="I228" s="5"/>
    </row>
    <row r="229" spans="1:9" x14ac:dyDescent="0.25">
      <c r="A229" s="7"/>
      <c r="B229" s="8">
        <f>IF(C229="","",IF(ISNUMBER(MATCH(C229,Insumos!$A:$A,0)),"insumo",IF(ISNUMBER(MATCH(C229,Preparos!$A:$A,0)),"preparo","")))</f>
      </c>
      <c r="C229" s="7"/>
      <c r="D229" s="7"/>
      <c r="E229" s="8">
        <f>IF(C229="","",IFERROR(VLOOKUP(C229,Insumos!$A:$I,9,FALSE),IFERROR(VLOOKUP(C229,Preparos!$A:$D,4,FALSE),"")))</f>
      </c>
      <c r="F229" s="8">
        <f>IF(C229="","",IFERROR(VLOOKUP(C229,Insumos!$A:$G,7,FALSE),100))</f>
      </c>
      <c r="G229" s="9">
        <f>IF(C229="","",IFERROR(VLOOKUP(C229,Insumos!$A:$J,10,FALSE),IFERROR(VLOOKUP(C229,Preparos!$A:$F,6,FALSE),0)))</f>
      </c>
      <c r="H229" s="10">
        <f>IF(OR(D229="",G229="",F229=0),"",D229*G229*(100/F229))</f>
      </c>
      <c r="I229" s="5"/>
    </row>
    <row r="230" spans="1:9" x14ac:dyDescent="0.25">
      <c r="A230" s="7"/>
      <c r="B230" s="8">
        <f>IF(C230="","",IF(ISNUMBER(MATCH(C230,Insumos!$A:$A,0)),"insumo",IF(ISNUMBER(MATCH(C230,Preparos!$A:$A,0)),"preparo","")))</f>
      </c>
      <c r="C230" s="7"/>
      <c r="D230" s="7"/>
      <c r="E230" s="8">
        <f>IF(C230="","",IFERROR(VLOOKUP(C230,Insumos!$A:$I,9,FALSE),IFERROR(VLOOKUP(C230,Preparos!$A:$D,4,FALSE),"")))</f>
      </c>
      <c r="F230" s="8">
        <f>IF(C230="","",IFERROR(VLOOKUP(C230,Insumos!$A:$G,7,FALSE),100))</f>
      </c>
      <c r="G230" s="9">
        <f>IF(C230="","",IFERROR(VLOOKUP(C230,Insumos!$A:$J,10,FALSE),IFERROR(VLOOKUP(C230,Preparos!$A:$F,6,FALSE),0)))</f>
      </c>
      <c r="H230" s="10">
        <f>IF(OR(D230="",G230="",F230=0),"",D230*G230*(100/F230))</f>
      </c>
      <c r="I230" s="5"/>
    </row>
    <row r="231" spans="1:9" x14ac:dyDescent="0.25">
      <c r="A231" s="7"/>
      <c r="B231" s="8">
        <f>IF(C231="","",IF(ISNUMBER(MATCH(C231,Insumos!$A:$A,0)),"insumo",IF(ISNUMBER(MATCH(C231,Preparos!$A:$A,0)),"preparo","")))</f>
      </c>
      <c r="C231" s="7"/>
      <c r="D231" s="7"/>
      <c r="E231" s="8">
        <f>IF(C231="","",IFERROR(VLOOKUP(C231,Insumos!$A:$I,9,FALSE),IFERROR(VLOOKUP(C231,Preparos!$A:$D,4,FALSE),"")))</f>
      </c>
      <c r="F231" s="8">
        <f>IF(C231="","",IFERROR(VLOOKUP(C231,Insumos!$A:$G,7,FALSE),100))</f>
      </c>
      <c r="G231" s="9">
        <f>IF(C231="","",IFERROR(VLOOKUP(C231,Insumos!$A:$J,10,FALSE),IFERROR(VLOOKUP(C231,Preparos!$A:$F,6,FALSE),0)))</f>
      </c>
      <c r="H231" s="10">
        <f>IF(OR(D231="",G231="",F231=0),"",D231*G231*(100/F231))</f>
      </c>
      <c r="I231" s="5"/>
    </row>
    <row r="232" spans="1:9" x14ac:dyDescent="0.25">
      <c r="A232" s="7"/>
      <c r="B232" s="8">
        <f>IF(C232="","",IF(ISNUMBER(MATCH(C232,Insumos!$A:$A,0)),"insumo",IF(ISNUMBER(MATCH(C232,Preparos!$A:$A,0)),"preparo","")))</f>
      </c>
      <c r="C232" s="7"/>
      <c r="D232" s="7"/>
      <c r="E232" s="8">
        <f>IF(C232="","",IFERROR(VLOOKUP(C232,Insumos!$A:$I,9,FALSE),IFERROR(VLOOKUP(C232,Preparos!$A:$D,4,FALSE),"")))</f>
      </c>
      <c r="F232" s="8">
        <f>IF(C232="","",IFERROR(VLOOKUP(C232,Insumos!$A:$G,7,FALSE),100))</f>
      </c>
      <c r="G232" s="9">
        <f>IF(C232="","",IFERROR(VLOOKUP(C232,Insumos!$A:$J,10,FALSE),IFERROR(VLOOKUP(C232,Preparos!$A:$F,6,FALSE),0)))</f>
      </c>
      <c r="H232" s="10">
        <f>IF(OR(D232="",G232="",F232=0),"",D232*G232*(100/F232))</f>
      </c>
      <c r="I232" s="5"/>
    </row>
    <row r="233" spans="1:9" x14ac:dyDescent="0.25">
      <c r="A233" s="7"/>
      <c r="B233" s="8">
        <f>IF(C233="","",IF(ISNUMBER(MATCH(C233,Insumos!$A:$A,0)),"insumo",IF(ISNUMBER(MATCH(C233,Preparos!$A:$A,0)),"preparo","")))</f>
      </c>
      <c r="C233" s="7"/>
      <c r="D233" s="7"/>
      <c r="E233" s="8">
        <f>IF(C233="","",IFERROR(VLOOKUP(C233,Insumos!$A:$I,9,FALSE),IFERROR(VLOOKUP(C233,Preparos!$A:$D,4,FALSE),"")))</f>
      </c>
      <c r="F233" s="8">
        <f>IF(C233="","",IFERROR(VLOOKUP(C233,Insumos!$A:$G,7,FALSE),100))</f>
      </c>
      <c r="G233" s="9">
        <f>IF(C233="","",IFERROR(VLOOKUP(C233,Insumos!$A:$J,10,FALSE),IFERROR(VLOOKUP(C233,Preparos!$A:$F,6,FALSE),0)))</f>
      </c>
      <c r="H233" s="10">
        <f>IF(OR(D233="",G233="",F233=0),"",D233*G233*(100/F233))</f>
      </c>
      <c r="I233" s="5"/>
    </row>
    <row r="234" spans="1:9" x14ac:dyDescent="0.25">
      <c r="A234" s="7"/>
      <c r="B234" s="8">
        <f>IF(C234="","",IF(ISNUMBER(MATCH(C234,Insumos!$A:$A,0)),"insumo",IF(ISNUMBER(MATCH(C234,Preparos!$A:$A,0)),"preparo","")))</f>
      </c>
      <c r="C234" s="7"/>
      <c r="D234" s="7"/>
      <c r="E234" s="8">
        <f>IF(C234="","",IFERROR(VLOOKUP(C234,Insumos!$A:$I,9,FALSE),IFERROR(VLOOKUP(C234,Preparos!$A:$D,4,FALSE),"")))</f>
      </c>
      <c r="F234" s="8">
        <f>IF(C234="","",IFERROR(VLOOKUP(C234,Insumos!$A:$G,7,FALSE),100))</f>
      </c>
      <c r="G234" s="9">
        <f>IF(C234="","",IFERROR(VLOOKUP(C234,Insumos!$A:$J,10,FALSE),IFERROR(VLOOKUP(C234,Preparos!$A:$F,6,FALSE),0)))</f>
      </c>
      <c r="H234" s="10">
        <f>IF(OR(D234="",G234="",F234=0),"",D234*G234*(100/F234))</f>
      </c>
      <c r="I234" s="5"/>
    </row>
    <row r="235" spans="1:9" x14ac:dyDescent="0.25">
      <c r="A235" s="7"/>
      <c r="B235" s="8">
        <f>IF(C235="","",IF(ISNUMBER(MATCH(C235,Insumos!$A:$A,0)),"insumo",IF(ISNUMBER(MATCH(C235,Preparos!$A:$A,0)),"preparo","")))</f>
      </c>
      <c r="C235" s="7"/>
      <c r="D235" s="7"/>
      <c r="E235" s="8">
        <f>IF(C235="","",IFERROR(VLOOKUP(C235,Insumos!$A:$I,9,FALSE),IFERROR(VLOOKUP(C235,Preparos!$A:$D,4,FALSE),"")))</f>
      </c>
      <c r="F235" s="8">
        <f>IF(C235="","",IFERROR(VLOOKUP(C235,Insumos!$A:$G,7,FALSE),100))</f>
      </c>
      <c r="G235" s="9">
        <f>IF(C235="","",IFERROR(VLOOKUP(C235,Insumos!$A:$J,10,FALSE),IFERROR(VLOOKUP(C235,Preparos!$A:$F,6,FALSE),0)))</f>
      </c>
      <c r="H235" s="10">
        <f>IF(OR(D235="",G235="",F235=0),"",D235*G235*(100/F235))</f>
      </c>
      <c r="I235" s="5"/>
    </row>
    <row r="236" spans="1:9" x14ac:dyDescent="0.25">
      <c r="A236" s="7"/>
      <c r="B236" s="8">
        <f>IF(C236="","",IF(ISNUMBER(MATCH(C236,Insumos!$A:$A,0)),"insumo",IF(ISNUMBER(MATCH(C236,Preparos!$A:$A,0)),"preparo","")))</f>
      </c>
      <c r="C236" s="7"/>
      <c r="D236" s="7"/>
      <c r="E236" s="8">
        <f>IF(C236="","",IFERROR(VLOOKUP(C236,Insumos!$A:$I,9,FALSE),IFERROR(VLOOKUP(C236,Preparos!$A:$D,4,FALSE),"")))</f>
      </c>
      <c r="F236" s="8">
        <f>IF(C236="","",IFERROR(VLOOKUP(C236,Insumos!$A:$G,7,FALSE),100))</f>
      </c>
      <c r="G236" s="9">
        <f>IF(C236="","",IFERROR(VLOOKUP(C236,Insumos!$A:$J,10,FALSE),IFERROR(VLOOKUP(C236,Preparos!$A:$F,6,FALSE),0)))</f>
      </c>
      <c r="H236" s="10">
        <f>IF(OR(D236="",G236="",F236=0),"",D236*G236*(100/F236))</f>
      </c>
      <c r="I236" s="5"/>
    </row>
    <row r="237" spans="1:9" x14ac:dyDescent="0.25">
      <c r="A237" s="7"/>
      <c r="B237" s="8">
        <f>IF(C237="","",IF(ISNUMBER(MATCH(C237,Insumos!$A:$A,0)),"insumo",IF(ISNUMBER(MATCH(C237,Preparos!$A:$A,0)),"preparo","")))</f>
      </c>
      <c r="C237" s="7"/>
      <c r="D237" s="7"/>
      <c r="E237" s="8">
        <f>IF(C237="","",IFERROR(VLOOKUP(C237,Insumos!$A:$I,9,FALSE),IFERROR(VLOOKUP(C237,Preparos!$A:$D,4,FALSE),"")))</f>
      </c>
      <c r="F237" s="8">
        <f>IF(C237="","",IFERROR(VLOOKUP(C237,Insumos!$A:$G,7,FALSE),100))</f>
      </c>
      <c r="G237" s="9">
        <f>IF(C237="","",IFERROR(VLOOKUP(C237,Insumos!$A:$J,10,FALSE),IFERROR(VLOOKUP(C237,Preparos!$A:$F,6,FALSE),0)))</f>
      </c>
      <c r="H237" s="10">
        <f>IF(OR(D237="",G237="",F237=0),"",D237*G237*(100/F237))</f>
      </c>
      <c r="I237" s="5"/>
    </row>
    <row r="238" spans="1:9" x14ac:dyDescent="0.25">
      <c r="A238" s="7"/>
      <c r="B238" s="8">
        <f>IF(C238="","",IF(ISNUMBER(MATCH(C238,Insumos!$A:$A,0)),"insumo",IF(ISNUMBER(MATCH(C238,Preparos!$A:$A,0)),"preparo","")))</f>
      </c>
      <c r="C238" s="7"/>
      <c r="D238" s="7"/>
      <c r="E238" s="8">
        <f>IF(C238="","",IFERROR(VLOOKUP(C238,Insumos!$A:$I,9,FALSE),IFERROR(VLOOKUP(C238,Preparos!$A:$D,4,FALSE),"")))</f>
      </c>
      <c r="F238" s="8">
        <f>IF(C238="","",IFERROR(VLOOKUP(C238,Insumos!$A:$G,7,FALSE),100))</f>
      </c>
      <c r="G238" s="9">
        <f>IF(C238="","",IFERROR(VLOOKUP(C238,Insumos!$A:$J,10,FALSE),IFERROR(VLOOKUP(C238,Preparos!$A:$F,6,FALSE),0)))</f>
      </c>
      <c r="H238" s="10">
        <f>IF(OR(D238="",G238="",F238=0),"",D238*G238*(100/F238))</f>
      </c>
      <c r="I238" s="5"/>
    </row>
    <row r="239" spans="1:9" x14ac:dyDescent="0.25">
      <c r="A239" s="7"/>
      <c r="B239" s="8">
        <f>IF(C239="","",IF(ISNUMBER(MATCH(C239,Insumos!$A:$A,0)),"insumo",IF(ISNUMBER(MATCH(C239,Preparos!$A:$A,0)),"preparo","")))</f>
      </c>
      <c r="C239" s="7"/>
      <c r="D239" s="7"/>
      <c r="E239" s="8">
        <f>IF(C239="","",IFERROR(VLOOKUP(C239,Insumos!$A:$I,9,FALSE),IFERROR(VLOOKUP(C239,Preparos!$A:$D,4,FALSE),"")))</f>
      </c>
      <c r="F239" s="8">
        <f>IF(C239="","",IFERROR(VLOOKUP(C239,Insumos!$A:$G,7,FALSE),100))</f>
      </c>
      <c r="G239" s="9">
        <f>IF(C239="","",IFERROR(VLOOKUP(C239,Insumos!$A:$J,10,FALSE),IFERROR(VLOOKUP(C239,Preparos!$A:$F,6,FALSE),0)))</f>
      </c>
      <c r="H239" s="10">
        <f>IF(OR(D239="",G239="",F239=0),"",D239*G239*(100/F239))</f>
      </c>
      <c r="I239" s="5"/>
    </row>
    <row r="240" spans="1:9" x14ac:dyDescent="0.25">
      <c r="A240" s="7"/>
      <c r="B240" s="8">
        <f>IF(C240="","",IF(ISNUMBER(MATCH(C240,Insumos!$A:$A,0)),"insumo",IF(ISNUMBER(MATCH(C240,Preparos!$A:$A,0)),"preparo","")))</f>
      </c>
      <c r="C240" s="7"/>
      <c r="D240" s="7"/>
      <c r="E240" s="8">
        <f>IF(C240="","",IFERROR(VLOOKUP(C240,Insumos!$A:$I,9,FALSE),IFERROR(VLOOKUP(C240,Preparos!$A:$D,4,FALSE),"")))</f>
      </c>
      <c r="F240" s="8">
        <f>IF(C240="","",IFERROR(VLOOKUP(C240,Insumos!$A:$G,7,FALSE),100))</f>
      </c>
      <c r="G240" s="9">
        <f>IF(C240="","",IFERROR(VLOOKUP(C240,Insumos!$A:$J,10,FALSE),IFERROR(VLOOKUP(C240,Preparos!$A:$F,6,FALSE),0)))</f>
      </c>
      <c r="H240" s="10">
        <f>IF(OR(D240="",G240="",F240=0),"",D240*G240*(100/F240))</f>
      </c>
      <c r="I240" s="5"/>
    </row>
    <row r="241" spans="1:9" x14ac:dyDescent="0.25">
      <c r="A241" s="7"/>
      <c r="B241" s="8">
        <f>IF(C241="","",IF(ISNUMBER(MATCH(C241,Insumos!$A:$A,0)),"insumo",IF(ISNUMBER(MATCH(C241,Preparos!$A:$A,0)),"preparo","")))</f>
      </c>
      <c r="C241" s="7"/>
      <c r="D241" s="7"/>
      <c r="E241" s="8">
        <f>IF(C241="","",IFERROR(VLOOKUP(C241,Insumos!$A:$I,9,FALSE),IFERROR(VLOOKUP(C241,Preparos!$A:$D,4,FALSE),"")))</f>
      </c>
      <c r="F241" s="8">
        <f>IF(C241="","",IFERROR(VLOOKUP(C241,Insumos!$A:$G,7,FALSE),100))</f>
      </c>
      <c r="G241" s="9">
        <f>IF(C241="","",IFERROR(VLOOKUP(C241,Insumos!$A:$J,10,FALSE),IFERROR(VLOOKUP(C241,Preparos!$A:$F,6,FALSE),0)))</f>
      </c>
      <c r="H241" s="10">
        <f>IF(OR(D241="",G241="",F241=0),"",D241*G241*(100/F241))</f>
      </c>
      <c r="I241" s="5"/>
    </row>
    <row r="242" spans="1:9" x14ac:dyDescent="0.25">
      <c r="A242" s="7"/>
      <c r="B242" s="8">
        <f>IF(C242="","",IF(ISNUMBER(MATCH(C242,Insumos!$A:$A,0)),"insumo",IF(ISNUMBER(MATCH(C242,Preparos!$A:$A,0)),"preparo","")))</f>
      </c>
      <c r="C242" s="7"/>
      <c r="D242" s="7"/>
      <c r="E242" s="8">
        <f>IF(C242="","",IFERROR(VLOOKUP(C242,Insumos!$A:$I,9,FALSE),IFERROR(VLOOKUP(C242,Preparos!$A:$D,4,FALSE),"")))</f>
      </c>
      <c r="F242" s="8">
        <f>IF(C242="","",IFERROR(VLOOKUP(C242,Insumos!$A:$G,7,FALSE),100))</f>
      </c>
      <c r="G242" s="9">
        <f>IF(C242="","",IFERROR(VLOOKUP(C242,Insumos!$A:$J,10,FALSE),IFERROR(VLOOKUP(C242,Preparos!$A:$F,6,FALSE),0)))</f>
      </c>
      <c r="H242" s="10">
        <f>IF(OR(D242="",G242="",F242=0),"",D242*G242*(100/F242))</f>
      </c>
      <c r="I242" s="5"/>
    </row>
    <row r="243" spans="1:9" x14ac:dyDescent="0.25">
      <c r="A243" s="7"/>
      <c r="B243" s="8">
        <f>IF(C243="","",IF(ISNUMBER(MATCH(C243,Insumos!$A:$A,0)),"insumo",IF(ISNUMBER(MATCH(C243,Preparos!$A:$A,0)),"preparo","")))</f>
      </c>
      <c r="C243" s="7"/>
      <c r="D243" s="7"/>
      <c r="E243" s="8">
        <f>IF(C243="","",IFERROR(VLOOKUP(C243,Insumos!$A:$I,9,FALSE),IFERROR(VLOOKUP(C243,Preparos!$A:$D,4,FALSE),"")))</f>
      </c>
      <c r="F243" s="8">
        <f>IF(C243="","",IFERROR(VLOOKUP(C243,Insumos!$A:$G,7,FALSE),100))</f>
      </c>
      <c r="G243" s="9">
        <f>IF(C243="","",IFERROR(VLOOKUP(C243,Insumos!$A:$J,10,FALSE),IFERROR(VLOOKUP(C243,Preparos!$A:$F,6,FALSE),0)))</f>
      </c>
      <c r="H243" s="10">
        <f>IF(OR(D243="",G243="",F243=0),"",D243*G243*(100/F243))</f>
      </c>
      <c r="I243" s="5"/>
    </row>
    <row r="244" spans="1:9" x14ac:dyDescent="0.25">
      <c r="A244" s="7"/>
      <c r="B244" s="8">
        <f>IF(C244="","",IF(ISNUMBER(MATCH(C244,Insumos!$A:$A,0)),"insumo",IF(ISNUMBER(MATCH(C244,Preparos!$A:$A,0)),"preparo","")))</f>
      </c>
      <c r="C244" s="7"/>
      <c r="D244" s="7"/>
      <c r="E244" s="8">
        <f>IF(C244="","",IFERROR(VLOOKUP(C244,Insumos!$A:$I,9,FALSE),IFERROR(VLOOKUP(C244,Preparos!$A:$D,4,FALSE),"")))</f>
      </c>
      <c r="F244" s="8">
        <f>IF(C244="","",IFERROR(VLOOKUP(C244,Insumos!$A:$G,7,FALSE),100))</f>
      </c>
      <c r="G244" s="9">
        <f>IF(C244="","",IFERROR(VLOOKUP(C244,Insumos!$A:$J,10,FALSE),IFERROR(VLOOKUP(C244,Preparos!$A:$F,6,FALSE),0)))</f>
      </c>
      <c r="H244" s="10">
        <f>IF(OR(D244="",G244="",F244=0),"",D244*G244*(100/F244))</f>
      </c>
      <c r="I244" s="5"/>
    </row>
    <row r="245" spans="1:9" x14ac:dyDescent="0.25">
      <c r="A245" s="7"/>
      <c r="B245" s="8">
        <f>IF(C245="","",IF(ISNUMBER(MATCH(C245,Insumos!$A:$A,0)),"insumo",IF(ISNUMBER(MATCH(C245,Preparos!$A:$A,0)),"preparo","")))</f>
      </c>
      <c r="C245" s="7"/>
      <c r="D245" s="7"/>
      <c r="E245" s="8">
        <f>IF(C245="","",IFERROR(VLOOKUP(C245,Insumos!$A:$I,9,FALSE),IFERROR(VLOOKUP(C245,Preparos!$A:$D,4,FALSE),"")))</f>
      </c>
      <c r="F245" s="8">
        <f>IF(C245="","",IFERROR(VLOOKUP(C245,Insumos!$A:$G,7,FALSE),100))</f>
      </c>
      <c r="G245" s="9">
        <f>IF(C245="","",IFERROR(VLOOKUP(C245,Insumos!$A:$J,10,FALSE),IFERROR(VLOOKUP(C245,Preparos!$A:$F,6,FALSE),0)))</f>
      </c>
      <c r="H245" s="10">
        <f>IF(OR(D245="",G245="",F245=0),"",D245*G245*(100/F245))</f>
      </c>
      <c r="I245" s="5"/>
    </row>
    <row r="246" spans="1:9" x14ac:dyDescent="0.25">
      <c r="A246" s="7"/>
      <c r="B246" s="8">
        <f>IF(C246="","",IF(ISNUMBER(MATCH(C246,Insumos!$A:$A,0)),"insumo",IF(ISNUMBER(MATCH(C246,Preparos!$A:$A,0)),"preparo","")))</f>
      </c>
      <c r="C246" s="7"/>
      <c r="D246" s="7"/>
      <c r="E246" s="8">
        <f>IF(C246="","",IFERROR(VLOOKUP(C246,Insumos!$A:$I,9,FALSE),IFERROR(VLOOKUP(C246,Preparos!$A:$D,4,FALSE),"")))</f>
      </c>
      <c r="F246" s="8">
        <f>IF(C246="","",IFERROR(VLOOKUP(C246,Insumos!$A:$G,7,FALSE),100))</f>
      </c>
      <c r="G246" s="9">
        <f>IF(C246="","",IFERROR(VLOOKUP(C246,Insumos!$A:$J,10,FALSE),IFERROR(VLOOKUP(C246,Preparos!$A:$F,6,FALSE),0)))</f>
      </c>
      <c r="H246" s="10">
        <f>IF(OR(D246="",G246="",F246=0),"",D246*G246*(100/F246))</f>
      </c>
      <c r="I246" s="5"/>
    </row>
    <row r="247" spans="1:9" x14ac:dyDescent="0.25">
      <c r="A247" s="7"/>
      <c r="B247" s="8">
        <f>IF(C247="","",IF(ISNUMBER(MATCH(C247,Insumos!$A:$A,0)),"insumo",IF(ISNUMBER(MATCH(C247,Preparos!$A:$A,0)),"preparo","")))</f>
      </c>
      <c r="C247" s="7"/>
      <c r="D247" s="7"/>
      <c r="E247" s="8">
        <f>IF(C247="","",IFERROR(VLOOKUP(C247,Insumos!$A:$I,9,FALSE),IFERROR(VLOOKUP(C247,Preparos!$A:$D,4,FALSE),"")))</f>
      </c>
      <c r="F247" s="8">
        <f>IF(C247="","",IFERROR(VLOOKUP(C247,Insumos!$A:$G,7,FALSE),100))</f>
      </c>
      <c r="G247" s="9">
        <f>IF(C247="","",IFERROR(VLOOKUP(C247,Insumos!$A:$J,10,FALSE),IFERROR(VLOOKUP(C247,Preparos!$A:$F,6,FALSE),0)))</f>
      </c>
      <c r="H247" s="10">
        <f>IF(OR(D247="",G247="",F247=0),"",D247*G247*(100/F247))</f>
      </c>
      <c r="I247" s="5"/>
    </row>
    <row r="248" spans="1:9" x14ac:dyDescent="0.25">
      <c r="A248" s="7"/>
      <c r="B248" s="8">
        <f>IF(C248="","",IF(ISNUMBER(MATCH(C248,Insumos!$A:$A,0)),"insumo",IF(ISNUMBER(MATCH(C248,Preparos!$A:$A,0)),"preparo","")))</f>
      </c>
      <c r="C248" s="7"/>
      <c r="D248" s="7"/>
      <c r="E248" s="8">
        <f>IF(C248="","",IFERROR(VLOOKUP(C248,Insumos!$A:$I,9,FALSE),IFERROR(VLOOKUP(C248,Preparos!$A:$D,4,FALSE),"")))</f>
      </c>
      <c r="F248" s="8">
        <f>IF(C248="","",IFERROR(VLOOKUP(C248,Insumos!$A:$G,7,FALSE),100))</f>
      </c>
      <c r="G248" s="9">
        <f>IF(C248="","",IFERROR(VLOOKUP(C248,Insumos!$A:$J,10,FALSE),IFERROR(VLOOKUP(C248,Preparos!$A:$F,6,FALSE),0)))</f>
      </c>
      <c r="H248" s="10">
        <f>IF(OR(D248="",G248="",F248=0),"",D248*G248*(100/F248))</f>
      </c>
      <c r="I248" s="5"/>
    </row>
    <row r="249" spans="1:9" x14ac:dyDescent="0.25">
      <c r="A249" s="7"/>
      <c r="B249" s="8">
        <f>IF(C249="","",IF(ISNUMBER(MATCH(C249,Insumos!$A:$A,0)),"insumo",IF(ISNUMBER(MATCH(C249,Preparos!$A:$A,0)),"preparo","")))</f>
      </c>
      <c r="C249" s="7"/>
      <c r="D249" s="7"/>
      <c r="E249" s="8">
        <f>IF(C249="","",IFERROR(VLOOKUP(C249,Insumos!$A:$I,9,FALSE),IFERROR(VLOOKUP(C249,Preparos!$A:$D,4,FALSE),"")))</f>
      </c>
      <c r="F249" s="8">
        <f>IF(C249="","",IFERROR(VLOOKUP(C249,Insumos!$A:$G,7,FALSE),100))</f>
      </c>
      <c r="G249" s="9">
        <f>IF(C249="","",IFERROR(VLOOKUP(C249,Insumos!$A:$J,10,FALSE),IFERROR(VLOOKUP(C249,Preparos!$A:$F,6,FALSE),0)))</f>
      </c>
      <c r="H249" s="10">
        <f>IF(OR(D249="",G249="",F249=0),"",D249*G249*(100/F249))</f>
      </c>
      <c r="I249" s="5"/>
    </row>
    <row r="250" spans="1:9" x14ac:dyDescent="0.25">
      <c r="A250" s="7"/>
      <c r="B250" s="8">
        <f>IF(C250="","",IF(ISNUMBER(MATCH(C250,Insumos!$A:$A,0)),"insumo",IF(ISNUMBER(MATCH(C250,Preparos!$A:$A,0)),"preparo","")))</f>
      </c>
      <c r="C250" s="7"/>
      <c r="D250" s="7"/>
      <c r="E250" s="8">
        <f>IF(C250="","",IFERROR(VLOOKUP(C250,Insumos!$A:$I,9,FALSE),IFERROR(VLOOKUP(C250,Preparos!$A:$D,4,FALSE),"")))</f>
      </c>
      <c r="F250" s="8">
        <f>IF(C250="","",IFERROR(VLOOKUP(C250,Insumos!$A:$G,7,FALSE),100))</f>
      </c>
      <c r="G250" s="9">
        <f>IF(C250="","",IFERROR(VLOOKUP(C250,Insumos!$A:$J,10,FALSE),IFERROR(VLOOKUP(C250,Preparos!$A:$F,6,FALSE),0)))</f>
      </c>
      <c r="H250" s="10">
        <f>IF(OR(D250="",G250="",F250=0),"",D250*G250*(100/F250))</f>
      </c>
      <c r="I250" s="5"/>
    </row>
    <row r="251" spans="1:9" x14ac:dyDescent="0.25">
      <c r="A251" s="7"/>
      <c r="B251" s="8">
        <f>IF(C251="","",IF(ISNUMBER(MATCH(C251,Insumos!$A:$A,0)),"insumo",IF(ISNUMBER(MATCH(C251,Preparos!$A:$A,0)),"preparo","")))</f>
      </c>
      <c r="C251" s="7"/>
      <c r="D251" s="7"/>
      <c r="E251" s="8">
        <f>IF(C251="","",IFERROR(VLOOKUP(C251,Insumos!$A:$I,9,FALSE),IFERROR(VLOOKUP(C251,Preparos!$A:$D,4,FALSE),"")))</f>
      </c>
      <c r="F251" s="8">
        <f>IF(C251="","",IFERROR(VLOOKUP(C251,Insumos!$A:$G,7,FALSE),100))</f>
      </c>
      <c r="G251" s="9">
        <f>IF(C251="","",IFERROR(VLOOKUP(C251,Insumos!$A:$J,10,FALSE),IFERROR(VLOOKUP(C251,Preparos!$A:$F,6,FALSE),0)))</f>
      </c>
      <c r="H251" s="10">
        <f>IF(OR(D251="",G251="",F251=0),"",D251*G251*(100/F251))</f>
      </c>
      <c r="I251" s="5"/>
    </row>
    <row r="252" spans="1:9" x14ac:dyDescent="0.25">
      <c r="A252" s="7"/>
      <c r="B252" s="8">
        <f>IF(C252="","",IF(ISNUMBER(MATCH(C252,Insumos!$A:$A,0)),"insumo",IF(ISNUMBER(MATCH(C252,Preparos!$A:$A,0)),"preparo","")))</f>
      </c>
      <c r="C252" s="7"/>
      <c r="D252" s="7"/>
      <c r="E252" s="8">
        <f>IF(C252="","",IFERROR(VLOOKUP(C252,Insumos!$A:$I,9,FALSE),IFERROR(VLOOKUP(C252,Preparos!$A:$D,4,FALSE),"")))</f>
      </c>
      <c r="F252" s="8">
        <f>IF(C252="","",IFERROR(VLOOKUP(C252,Insumos!$A:$G,7,FALSE),100))</f>
      </c>
      <c r="G252" s="9">
        <f>IF(C252="","",IFERROR(VLOOKUP(C252,Insumos!$A:$J,10,FALSE),IFERROR(VLOOKUP(C252,Preparos!$A:$F,6,FALSE),0)))</f>
      </c>
      <c r="H252" s="10">
        <f>IF(OR(D252="",G252="",F252=0),"",D252*G252*(100/F252))</f>
      </c>
      <c r="I252" s="5"/>
    </row>
    <row r="253" spans="1:9" x14ac:dyDescent="0.25">
      <c r="A253" s="7"/>
      <c r="B253" s="8">
        <f>IF(C253="","",IF(ISNUMBER(MATCH(C253,Insumos!$A:$A,0)),"insumo",IF(ISNUMBER(MATCH(C253,Preparos!$A:$A,0)),"preparo","")))</f>
      </c>
      <c r="C253" s="7"/>
      <c r="D253" s="7"/>
      <c r="E253" s="8">
        <f>IF(C253="","",IFERROR(VLOOKUP(C253,Insumos!$A:$I,9,FALSE),IFERROR(VLOOKUP(C253,Preparos!$A:$D,4,FALSE),"")))</f>
      </c>
      <c r="F253" s="8">
        <f>IF(C253="","",IFERROR(VLOOKUP(C253,Insumos!$A:$G,7,FALSE),100))</f>
      </c>
      <c r="G253" s="9">
        <f>IF(C253="","",IFERROR(VLOOKUP(C253,Insumos!$A:$J,10,FALSE),IFERROR(VLOOKUP(C253,Preparos!$A:$F,6,FALSE),0)))</f>
      </c>
      <c r="H253" s="10">
        <f>IF(OR(D253="",G253="",F253=0),"",D253*G253*(100/F253))</f>
      </c>
      <c r="I253" s="5"/>
    </row>
    <row r="254" spans="1:9" x14ac:dyDescent="0.25">
      <c r="A254" s="7"/>
      <c r="B254" s="8">
        <f>IF(C254="","",IF(ISNUMBER(MATCH(C254,Insumos!$A:$A,0)),"insumo",IF(ISNUMBER(MATCH(C254,Preparos!$A:$A,0)),"preparo","")))</f>
      </c>
      <c r="C254" s="7"/>
      <c r="D254" s="7"/>
      <c r="E254" s="8">
        <f>IF(C254="","",IFERROR(VLOOKUP(C254,Insumos!$A:$I,9,FALSE),IFERROR(VLOOKUP(C254,Preparos!$A:$D,4,FALSE),"")))</f>
      </c>
      <c r="F254" s="8">
        <f>IF(C254="","",IFERROR(VLOOKUP(C254,Insumos!$A:$G,7,FALSE),100))</f>
      </c>
      <c r="G254" s="9">
        <f>IF(C254="","",IFERROR(VLOOKUP(C254,Insumos!$A:$J,10,FALSE),IFERROR(VLOOKUP(C254,Preparos!$A:$F,6,FALSE),0)))</f>
      </c>
      <c r="H254" s="10">
        <f>IF(OR(D254="",G254="",F254=0),"",D254*G254*(100/F254))</f>
      </c>
      <c r="I254" s="5"/>
    </row>
    <row r="255" spans="1:9" x14ac:dyDescent="0.25">
      <c r="A255" s="7"/>
      <c r="B255" s="8">
        <f>IF(C255="","",IF(ISNUMBER(MATCH(C255,Insumos!$A:$A,0)),"insumo",IF(ISNUMBER(MATCH(C255,Preparos!$A:$A,0)),"preparo","")))</f>
      </c>
      <c r="C255" s="7"/>
      <c r="D255" s="7"/>
      <c r="E255" s="8">
        <f>IF(C255="","",IFERROR(VLOOKUP(C255,Insumos!$A:$I,9,FALSE),IFERROR(VLOOKUP(C255,Preparos!$A:$D,4,FALSE),"")))</f>
      </c>
      <c r="F255" s="8">
        <f>IF(C255="","",IFERROR(VLOOKUP(C255,Insumos!$A:$G,7,FALSE),100))</f>
      </c>
      <c r="G255" s="9">
        <f>IF(C255="","",IFERROR(VLOOKUP(C255,Insumos!$A:$J,10,FALSE),IFERROR(VLOOKUP(C255,Preparos!$A:$F,6,FALSE),0)))</f>
      </c>
      <c r="H255" s="10">
        <f>IF(OR(D255="",G255="",F255=0),"",D255*G255*(100/F255))</f>
      </c>
      <c r="I255" s="5"/>
    </row>
    <row r="256" spans="1:9" x14ac:dyDescent="0.25">
      <c r="A256" s="7"/>
      <c r="B256" s="8">
        <f>IF(C256="","",IF(ISNUMBER(MATCH(C256,Insumos!$A:$A,0)),"insumo",IF(ISNUMBER(MATCH(C256,Preparos!$A:$A,0)),"preparo","")))</f>
      </c>
      <c r="C256" s="7"/>
      <c r="D256" s="7"/>
      <c r="E256" s="8">
        <f>IF(C256="","",IFERROR(VLOOKUP(C256,Insumos!$A:$I,9,FALSE),IFERROR(VLOOKUP(C256,Preparos!$A:$D,4,FALSE),"")))</f>
      </c>
      <c r="F256" s="8">
        <f>IF(C256="","",IFERROR(VLOOKUP(C256,Insumos!$A:$G,7,FALSE),100))</f>
      </c>
      <c r="G256" s="9">
        <f>IF(C256="","",IFERROR(VLOOKUP(C256,Insumos!$A:$J,10,FALSE),IFERROR(VLOOKUP(C256,Preparos!$A:$F,6,FALSE),0)))</f>
      </c>
      <c r="H256" s="10">
        <f>IF(OR(D256="",G256="",F256=0),"",D256*G256*(100/F256))</f>
      </c>
      <c r="I256" s="5"/>
    </row>
    <row r="257" spans="1:9" x14ac:dyDescent="0.25">
      <c r="A257" s="7"/>
      <c r="B257" s="8">
        <f>IF(C257="","",IF(ISNUMBER(MATCH(C257,Insumos!$A:$A,0)),"insumo",IF(ISNUMBER(MATCH(C257,Preparos!$A:$A,0)),"preparo","")))</f>
      </c>
      <c r="C257" s="7"/>
      <c r="D257" s="7"/>
      <c r="E257" s="8">
        <f>IF(C257="","",IFERROR(VLOOKUP(C257,Insumos!$A:$I,9,FALSE),IFERROR(VLOOKUP(C257,Preparos!$A:$D,4,FALSE),"")))</f>
      </c>
      <c r="F257" s="8">
        <f>IF(C257="","",IFERROR(VLOOKUP(C257,Insumos!$A:$G,7,FALSE),100))</f>
      </c>
      <c r="G257" s="9">
        <f>IF(C257="","",IFERROR(VLOOKUP(C257,Insumos!$A:$J,10,FALSE),IFERROR(VLOOKUP(C257,Preparos!$A:$F,6,FALSE),0)))</f>
      </c>
      <c r="H257" s="10">
        <f>IF(OR(D257="",G257="",F257=0),"",D257*G257*(100/F257))</f>
      </c>
      <c r="I257" s="5"/>
    </row>
    <row r="258" spans="1:9" x14ac:dyDescent="0.25">
      <c r="A258" s="7"/>
      <c r="B258" s="8">
        <f>IF(C258="","",IF(ISNUMBER(MATCH(C258,Insumos!$A:$A,0)),"insumo",IF(ISNUMBER(MATCH(C258,Preparos!$A:$A,0)),"preparo","")))</f>
      </c>
      <c r="C258" s="7"/>
      <c r="D258" s="7"/>
      <c r="E258" s="8">
        <f>IF(C258="","",IFERROR(VLOOKUP(C258,Insumos!$A:$I,9,FALSE),IFERROR(VLOOKUP(C258,Preparos!$A:$D,4,FALSE),"")))</f>
      </c>
      <c r="F258" s="8">
        <f>IF(C258="","",IFERROR(VLOOKUP(C258,Insumos!$A:$G,7,FALSE),100))</f>
      </c>
      <c r="G258" s="9">
        <f>IF(C258="","",IFERROR(VLOOKUP(C258,Insumos!$A:$J,10,FALSE),IFERROR(VLOOKUP(C258,Preparos!$A:$F,6,FALSE),0)))</f>
      </c>
      <c r="H258" s="10">
        <f>IF(OR(D258="",G258="",F258=0),"",D258*G258*(100/F258))</f>
      </c>
      <c r="I258" s="5"/>
    </row>
    <row r="259" spans="1:9" x14ac:dyDescent="0.25">
      <c r="A259" s="7"/>
      <c r="B259" s="8">
        <f>IF(C259="","",IF(ISNUMBER(MATCH(C259,Insumos!$A:$A,0)),"insumo",IF(ISNUMBER(MATCH(C259,Preparos!$A:$A,0)),"preparo","")))</f>
      </c>
      <c r="C259" s="7"/>
      <c r="D259" s="7"/>
      <c r="E259" s="8">
        <f>IF(C259="","",IFERROR(VLOOKUP(C259,Insumos!$A:$I,9,FALSE),IFERROR(VLOOKUP(C259,Preparos!$A:$D,4,FALSE),"")))</f>
      </c>
      <c r="F259" s="8">
        <f>IF(C259="","",IFERROR(VLOOKUP(C259,Insumos!$A:$G,7,FALSE),100))</f>
      </c>
      <c r="G259" s="9">
        <f>IF(C259="","",IFERROR(VLOOKUP(C259,Insumos!$A:$J,10,FALSE),IFERROR(VLOOKUP(C259,Preparos!$A:$F,6,FALSE),0)))</f>
      </c>
      <c r="H259" s="10">
        <f>IF(OR(D259="",G259="",F259=0),"",D259*G259*(100/F259))</f>
      </c>
      <c r="I259" s="5"/>
    </row>
    <row r="260" spans="1:9" x14ac:dyDescent="0.25">
      <c r="A260" s="7"/>
      <c r="B260" s="8">
        <f>IF(C260="","",IF(ISNUMBER(MATCH(C260,Insumos!$A:$A,0)),"insumo",IF(ISNUMBER(MATCH(C260,Preparos!$A:$A,0)),"preparo","")))</f>
      </c>
      <c r="C260" s="7"/>
      <c r="D260" s="7"/>
      <c r="E260" s="8">
        <f>IF(C260="","",IFERROR(VLOOKUP(C260,Insumos!$A:$I,9,FALSE),IFERROR(VLOOKUP(C260,Preparos!$A:$D,4,FALSE),"")))</f>
      </c>
      <c r="F260" s="8">
        <f>IF(C260="","",IFERROR(VLOOKUP(C260,Insumos!$A:$G,7,FALSE),100))</f>
      </c>
      <c r="G260" s="9">
        <f>IF(C260="","",IFERROR(VLOOKUP(C260,Insumos!$A:$J,10,FALSE),IFERROR(VLOOKUP(C260,Preparos!$A:$F,6,FALSE),0)))</f>
      </c>
      <c r="H260" s="10">
        <f>IF(OR(D260="",G260="",F260=0),"",D260*G260*(100/F260))</f>
      </c>
      <c r="I260" s="5"/>
    </row>
    <row r="261" spans="1:9" x14ac:dyDescent="0.25">
      <c r="A261" s="7"/>
      <c r="B261" s="8">
        <f>IF(C261="","",IF(ISNUMBER(MATCH(C261,Insumos!$A:$A,0)),"insumo",IF(ISNUMBER(MATCH(C261,Preparos!$A:$A,0)),"preparo","")))</f>
      </c>
      <c r="C261" s="7"/>
      <c r="D261" s="7"/>
      <c r="E261" s="8">
        <f>IF(C261="","",IFERROR(VLOOKUP(C261,Insumos!$A:$I,9,FALSE),IFERROR(VLOOKUP(C261,Preparos!$A:$D,4,FALSE),"")))</f>
      </c>
      <c r="F261" s="8">
        <f>IF(C261="","",IFERROR(VLOOKUP(C261,Insumos!$A:$G,7,FALSE),100))</f>
      </c>
      <c r="G261" s="9">
        <f>IF(C261="","",IFERROR(VLOOKUP(C261,Insumos!$A:$J,10,FALSE),IFERROR(VLOOKUP(C261,Preparos!$A:$F,6,FALSE),0)))</f>
      </c>
      <c r="H261" s="10">
        <f>IF(OR(D261="",G261="",F261=0),"",D261*G261*(100/F261))</f>
      </c>
      <c r="I261" s="5"/>
    </row>
    <row r="262" spans="1:9" x14ac:dyDescent="0.25">
      <c r="A262" s="7"/>
      <c r="B262" s="8">
        <f>IF(C262="","",IF(ISNUMBER(MATCH(C262,Insumos!$A:$A,0)),"insumo",IF(ISNUMBER(MATCH(C262,Preparos!$A:$A,0)),"preparo","")))</f>
      </c>
      <c r="C262" s="7"/>
      <c r="D262" s="7"/>
      <c r="E262" s="8">
        <f>IF(C262="","",IFERROR(VLOOKUP(C262,Insumos!$A:$I,9,FALSE),IFERROR(VLOOKUP(C262,Preparos!$A:$D,4,FALSE),"")))</f>
      </c>
      <c r="F262" s="8">
        <f>IF(C262="","",IFERROR(VLOOKUP(C262,Insumos!$A:$G,7,FALSE),100))</f>
      </c>
      <c r="G262" s="9">
        <f>IF(C262="","",IFERROR(VLOOKUP(C262,Insumos!$A:$J,10,FALSE),IFERROR(VLOOKUP(C262,Preparos!$A:$F,6,FALSE),0)))</f>
      </c>
      <c r="H262" s="10">
        <f>IF(OR(D262="",G262="",F262=0),"",D262*G262*(100/F262))</f>
      </c>
      <c r="I262" s="5"/>
    </row>
    <row r="263" spans="1:9" x14ac:dyDescent="0.25">
      <c r="A263" s="7"/>
      <c r="B263" s="8">
        <f>IF(C263="","",IF(ISNUMBER(MATCH(C263,Insumos!$A:$A,0)),"insumo",IF(ISNUMBER(MATCH(C263,Preparos!$A:$A,0)),"preparo","")))</f>
      </c>
      <c r="C263" s="7"/>
      <c r="D263" s="7"/>
      <c r="E263" s="8">
        <f>IF(C263="","",IFERROR(VLOOKUP(C263,Insumos!$A:$I,9,FALSE),IFERROR(VLOOKUP(C263,Preparos!$A:$D,4,FALSE),"")))</f>
      </c>
      <c r="F263" s="8">
        <f>IF(C263="","",IFERROR(VLOOKUP(C263,Insumos!$A:$G,7,FALSE),100))</f>
      </c>
      <c r="G263" s="9">
        <f>IF(C263="","",IFERROR(VLOOKUP(C263,Insumos!$A:$J,10,FALSE),IFERROR(VLOOKUP(C263,Preparos!$A:$F,6,FALSE),0)))</f>
      </c>
      <c r="H263" s="10">
        <f>IF(OR(D263="",G263="",F263=0),"",D263*G263*(100/F263))</f>
      </c>
      <c r="I263" s="5"/>
    </row>
    <row r="264" spans="1:9" x14ac:dyDescent="0.25">
      <c r="A264" s="7"/>
      <c r="B264" s="8">
        <f>IF(C264="","",IF(ISNUMBER(MATCH(C264,Insumos!$A:$A,0)),"insumo",IF(ISNUMBER(MATCH(C264,Preparos!$A:$A,0)),"preparo","")))</f>
      </c>
      <c r="C264" s="7"/>
      <c r="D264" s="7"/>
      <c r="E264" s="8">
        <f>IF(C264="","",IFERROR(VLOOKUP(C264,Insumos!$A:$I,9,FALSE),IFERROR(VLOOKUP(C264,Preparos!$A:$D,4,FALSE),"")))</f>
      </c>
      <c r="F264" s="8">
        <f>IF(C264="","",IFERROR(VLOOKUP(C264,Insumos!$A:$G,7,FALSE),100))</f>
      </c>
      <c r="G264" s="9">
        <f>IF(C264="","",IFERROR(VLOOKUP(C264,Insumos!$A:$J,10,FALSE),IFERROR(VLOOKUP(C264,Preparos!$A:$F,6,FALSE),0)))</f>
      </c>
      <c r="H264" s="10">
        <f>IF(OR(D264="",G264="",F264=0),"",D264*G264*(100/F264))</f>
      </c>
      <c r="I264" s="5"/>
    </row>
    <row r="265" spans="1:9" x14ac:dyDescent="0.25">
      <c r="A265" s="7"/>
      <c r="B265" s="8">
        <f>IF(C265="","",IF(ISNUMBER(MATCH(C265,Insumos!$A:$A,0)),"insumo",IF(ISNUMBER(MATCH(C265,Preparos!$A:$A,0)),"preparo","")))</f>
      </c>
      <c r="C265" s="7"/>
      <c r="D265" s="7"/>
      <c r="E265" s="8">
        <f>IF(C265="","",IFERROR(VLOOKUP(C265,Insumos!$A:$I,9,FALSE),IFERROR(VLOOKUP(C265,Preparos!$A:$D,4,FALSE),"")))</f>
      </c>
      <c r="F265" s="8">
        <f>IF(C265="","",IFERROR(VLOOKUP(C265,Insumos!$A:$G,7,FALSE),100))</f>
      </c>
      <c r="G265" s="9">
        <f>IF(C265="","",IFERROR(VLOOKUP(C265,Insumos!$A:$J,10,FALSE),IFERROR(VLOOKUP(C265,Preparos!$A:$F,6,FALSE),0)))</f>
      </c>
      <c r="H265" s="10">
        <f>IF(OR(D265="",G265="",F265=0),"",D265*G265*(100/F265))</f>
      </c>
      <c r="I265" s="5"/>
    </row>
    <row r="266" spans="1:9" x14ac:dyDescent="0.25">
      <c r="A266" s="7"/>
      <c r="B266" s="8">
        <f>IF(C266="","",IF(ISNUMBER(MATCH(C266,Insumos!$A:$A,0)),"insumo",IF(ISNUMBER(MATCH(C266,Preparos!$A:$A,0)),"preparo","")))</f>
      </c>
      <c r="C266" s="7"/>
      <c r="D266" s="7"/>
      <c r="E266" s="8">
        <f>IF(C266="","",IFERROR(VLOOKUP(C266,Insumos!$A:$I,9,FALSE),IFERROR(VLOOKUP(C266,Preparos!$A:$D,4,FALSE),"")))</f>
      </c>
      <c r="F266" s="8">
        <f>IF(C266="","",IFERROR(VLOOKUP(C266,Insumos!$A:$G,7,FALSE),100))</f>
      </c>
      <c r="G266" s="9">
        <f>IF(C266="","",IFERROR(VLOOKUP(C266,Insumos!$A:$J,10,FALSE),IFERROR(VLOOKUP(C266,Preparos!$A:$F,6,FALSE),0)))</f>
      </c>
      <c r="H266" s="10">
        <f>IF(OR(D266="",G266="",F266=0),"",D266*G266*(100/F266))</f>
      </c>
      <c r="I266" s="5"/>
    </row>
    <row r="267" spans="1:9" x14ac:dyDescent="0.25">
      <c r="A267" s="7"/>
      <c r="B267" s="8">
        <f>IF(C267="","",IF(ISNUMBER(MATCH(C267,Insumos!$A:$A,0)),"insumo",IF(ISNUMBER(MATCH(C267,Preparos!$A:$A,0)),"preparo","")))</f>
      </c>
      <c r="C267" s="7"/>
      <c r="D267" s="7"/>
      <c r="E267" s="8">
        <f>IF(C267="","",IFERROR(VLOOKUP(C267,Insumos!$A:$I,9,FALSE),IFERROR(VLOOKUP(C267,Preparos!$A:$D,4,FALSE),"")))</f>
      </c>
      <c r="F267" s="8">
        <f>IF(C267="","",IFERROR(VLOOKUP(C267,Insumos!$A:$G,7,FALSE),100))</f>
      </c>
      <c r="G267" s="9">
        <f>IF(C267="","",IFERROR(VLOOKUP(C267,Insumos!$A:$J,10,FALSE),IFERROR(VLOOKUP(C267,Preparos!$A:$F,6,FALSE),0)))</f>
      </c>
      <c r="H267" s="10">
        <f>IF(OR(D267="",G267="",F267=0),"",D267*G267*(100/F267))</f>
      </c>
      <c r="I267" s="5"/>
    </row>
    <row r="268" spans="1:9" x14ac:dyDescent="0.25">
      <c r="A268" s="7"/>
      <c r="B268" s="8">
        <f>IF(C268="","",IF(ISNUMBER(MATCH(C268,Insumos!$A:$A,0)),"insumo",IF(ISNUMBER(MATCH(C268,Preparos!$A:$A,0)),"preparo","")))</f>
      </c>
      <c r="C268" s="7"/>
      <c r="D268" s="7"/>
      <c r="E268" s="8">
        <f>IF(C268="","",IFERROR(VLOOKUP(C268,Insumos!$A:$I,9,FALSE),IFERROR(VLOOKUP(C268,Preparos!$A:$D,4,FALSE),"")))</f>
      </c>
      <c r="F268" s="8">
        <f>IF(C268="","",IFERROR(VLOOKUP(C268,Insumos!$A:$G,7,FALSE),100))</f>
      </c>
      <c r="G268" s="9">
        <f>IF(C268="","",IFERROR(VLOOKUP(C268,Insumos!$A:$J,10,FALSE),IFERROR(VLOOKUP(C268,Preparos!$A:$F,6,FALSE),0)))</f>
      </c>
      <c r="H268" s="10">
        <f>IF(OR(D268="",G268="",F268=0),"",D268*G268*(100/F268))</f>
      </c>
      <c r="I268" s="5"/>
    </row>
    <row r="269" spans="1:9" x14ac:dyDescent="0.25">
      <c r="A269" s="7"/>
      <c r="B269" s="8">
        <f>IF(C269="","",IF(ISNUMBER(MATCH(C269,Insumos!$A:$A,0)),"insumo",IF(ISNUMBER(MATCH(C269,Preparos!$A:$A,0)),"preparo","")))</f>
      </c>
      <c r="C269" s="7"/>
      <c r="D269" s="7"/>
      <c r="E269" s="8">
        <f>IF(C269="","",IFERROR(VLOOKUP(C269,Insumos!$A:$I,9,FALSE),IFERROR(VLOOKUP(C269,Preparos!$A:$D,4,FALSE),"")))</f>
      </c>
      <c r="F269" s="8">
        <f>IF(C269="","",IFERROR(VLOOKUP(C269,Insumos!$A:$G,7,FALSE),100))</f>
      </c>
      <c r="G269" s="9">
        <f>IF(C269="","",IFERROR(VLOOKUP(C269,Insumos!$A:$J,10,FALSE),IFERROR(VLOOKUP(C269,Preparos!$A:$F,6,FALSE),0)))</f>
      </c>
      <c r="H269" s="10">
        <f>IF(OR(D269="",G269="",F269=0),"",D269*G269*(100/F269))</f>
      </c>
      <c r="I269" s="5"/>
    </row>
    <row r="270" spans="1:9" x14ac:dyDescent="0.25">
      <c r="A270" s="7"/>
      <c r="B270" s="8">
        <f>IF(C270="","",IF(ISNUMBER(MATCH(C270,Insumos!$A:$A,0)),"insumo",IF(ISNUMBER(MATCH(C270,Preparos!$A:$A,0)),"preparo","")))</f>
      </c>
      <c r="C270" s="7"/>
      <c r="D270" s="7"/>
      <c r="E270" s="8">
        <f>IF(C270="","",IFERROR(VLOOKUP(C270,Insumos!$A:$I,9,FALSE),IFERROR(VLOOKUP(C270,Preparos!$A:$D,4,FALSE),"")))</f>
      </c>
      <c r="F270" s="8">
        <f>IF(C270="","",IFERROR(VLOOKUP(C270,Insumos!$A:$G,7,FALSE),100))</f>
      </c>
      <c r="G270" s="9">
        <f>IF(C270="","",IFERROR(VLOOKUP(C270,Insumos!$A:$J,10,FALSE),IFERROR(VLOOKUP(C270,Preparos!$A:$F,6,FALSE),0)))</f>
      </c>
      <c r="H270" s="10">
        <f>IF(OR(D270="",G270="",F270=0),"",D270*G270*(100/F270))</f>
      </c>
      <c r="I270" s="5"/>
    </row>
    <row r="271" spans="1:9" x14ac:dyDescent="0.25">
      <c r="A271" s="7"/>
      <c r="B271" s="8">
        <f>IF(C271="","",IF(ISNUMBER(MATCH(C271,Insumos!$A:$A,0)),"insumo",IF(ISNUMBER(MATCH(C271,Preparos!$A:$A,0)),"preparo","")))</f>
      </c>
      <c r="C271" s="7"/>
      <c r="D271" s="7"/>
      <c r="E271" s="8">
        <f>IF(C271="","",IFERROR(VLOOKUP(C271,Insumos!$A:$I,9,FALSE),IFERROR(VLOOKUP(C271,Preparos!$A:$D,4,FALSE),"")))</f>
      </c>
      <c r="F271" s="8">
        <f>IF(C271="","",IFERROR(VLOOKUP(C271,Insumos!$A:$G,7,FALSE),100))</f>
      </c>
      <c r="G271" s="9">
        <f>IF(C271="","",IFERROR(VLOOKUP(C271,Insumos!$A:$J,10,FALSE),IFERROR(VLOOKUP(C271,Preparos!$A:$F,6,FALSE),0)))</f>
      </c>
      <c r="H271" s="10">
        <f>IF(OR(D271="",G271="",F271=0),"",D271*G271*(100/F271))</f>
      </c>
      <c r="I271" s="5"/>
    </row>
    <row r="272" spans="1:9" x14ac:dyDescent="0.25">
      <c r="A272" s="7"/>
      <c r="B272" s="8">
        <f>IF(C272="","",IF(ISNUMBER(MATCH(C272,Insumos!$A:$A,0)),"insumo",IF(ISNUMBER(MATCH(C272,Preparos!$A:$A,0)),"preparo","")))</f>
      </c>
      <c r="C272" s="7"/>
      <c r="D272" s="7"/>
      <c r="E272" s="8">
        <f>IF(C272="","",IFERROR(VLOOKUP(C272,Insumos!$A:$I,9,FALSE),IFERROR(VLOOKUP(C272,Preparos!$A:$D,4,FALSE),"")))</f>
      </c>
      <c r="F272" s="8">
        <f>IF(C272="","",IFERROR(VLOOKUP(C272,Insumos!$A:$G,7,FALSE),100))</f>
      </c>
      <c r="G272" s="9">
        <f>IF(C272="","",IFERROR(VLOOKUP(C272,Insumos!$A:$J,10,FALSE),IFERROR(VLOOKUP(C272,Preparos!$A:$F,6,FALSE),0)))</f>
      </c>
      <c r="H272" s="10">
        <f>IF(OR(D272="",G272="",F272=0),"",D272*G272*(100/F272))</f>
      </c>
      <c r="I272" s="5"/>
    </row>
    <row r="273" spans="1:9" x14ac:dyDescent="0.25">
      <c r="A273" s="7"/>
      <c r="B273" s="8">
        <f>IF(C273="","",IF(ISNUMBER(MATCH(C273,Insumos!$A:$A,0)),"insumo",IF(ISNUMBER(MATCH(C273,Preparos!$A:$A,0)),"preparo","")))</f>
      </c>
      <c r="C273" s="7"/>
      <c r="D273" s="7"/>
      <c r="E273" s="8">
        <f>IF(C273="","",IFERROR(VLOOKUP(C273,Insumos!$A:$I,9,FALSE),IFERROR(VLOOKUP(C273,Preparos!$A:$D,4,FALSE),"")))</f>
      </c>
      <c r="F273" s="8">
        <f>IF(C273="","",IFERROR(VLOOKUP(C273,Insumos!$A:$G,7,FALSE),100))</f>
      </c>
      <c r="G273" s="9">
        <f>IF(C273="","",IFERROR(VLOOKUP(C273,Insumos!$A:$J,10,FALSE),IFERROR(VLOOKUP(C273,Preparos!$A:$F,6,FALSE),0)))</f>
      </c>
      <c r="H273" s="10">
        <f>IF(OR(D273="",G273="",F273=0),"",D273*G273*(100/F273))</f>
      </c>
      <c r="I273" s="5"/>
    </row>
    <row r="274" spans="1:9" x14ac:dyDescent="0.25">
      <c r="A274" s="7"/>
      <c r="B274" s="8">
        <f>IF(C274="","",IF(ISNUMBER(MATCH(C274,Insumos!$A:$A,0)),"insumo",IF(ISNUMBER(MATCH(C274,Preparos!$A:$A,0)),"preparo","")))</f>
      </c>
      <c r="C274" s="7"/>
      <c r="D274" s="7"/>
      <c r="E274" s="8">
        <f>IF(C274="","",IFERROR(VLOOKUP(C274,Insumos!$A:$I,9,FALSE),IFERROR(VLOOKUP(C274,Preparos!$A:$D,4,FALSE),"")))</f>
      </c>
      <c r="F274" s="8">
        <f>IF(C274="","",IFERROR(VLOOKUP(C274,Insumos!$A:$G,7,FALSE),100))</f>
      </c>
      <c r="G274" s="9">
        <f>IF(C274="","",IFERROR(VLOOKUP(C274,Insumos!$A:$J,10,FALSE),IFERROR(VLOOKUP(C274,Preparos!$A:$F,6,FALSE),0)))</f>
      </c>
      <c r="H274" s="10">
        <f>IF(OR(D274="",G274="",F274=0),"",D274*G274*(100/F274))</f>
      </c>
      <c r="I274" s="5"/>
    </row>
    <row r="275" spans="1:9" x14ac:dyDescent="0.25">
      <c r="A275" s="7"/>
      <c r="B275" s="8">
        <f>IF(C275="","",IF(ISNUMBER(MATCH(C275,Insumos!$A:$A,0)),"insumo",IF(ISNUMBER(MATCH(C275,Preparos!$A:$A,0)),"preparo","")))</f>
      </c>
      <c r="C275" s="7"/>
      <c r="D275" s="7"/>
      <c r="E275" s="8">
        <f>IF(C275="","",IFERROR(VLOOKUP(C275,Insumos!$A:$I,9,FALSE),IFERROR(VLOOKUP(C275,Preparos!$A:$D,4,FALSE),"")))</f>
      </c>
      <c r="F275" s="8">
        <f>IF(C275="","",IFERROR(VLOOKUP(C275,Insumos!$A:$G,7,FALSE),100))</f>
      </c>
      <c r="G275" s="9">
        <f>IF(C275="","",IFERROR(VLOOKUP(C275,Insumos!$A:$J,10,FALSE),IFERROR(VLOOKUP(C275,Preparos!$A:$F,6,FALSE),0)))</f>
      </c>
      <c r="H275" s="10">
        <f>IF(OR(D275="",G275="",F275=0),"",D275*G275*(100/F275))</f>
      </c>
      <c r="I275" s="5"/>
    </row>
    <row r="276" spans="1:9" x14ac:dyDescent="0.25">
      <c r="A276" s="7"/>
      <c r="B276" s="8">
        <f>IF(C276="","",IF(ISNUMBER(MATCH(C276,Insumos!$A:$A,0)),"insumo",IF(ISNUMBER(MATCH(C276,Preparos!$A:$A,0)),"preparo","")))</f>
      </c>
      <c r="C276" s="7"/>
      <c r="D276" s="7"/>
      <c r="E276" s="8">
        <f>IF(C276="","",IFERROR(VLOOKUP(C276,Insumos!$A:$I,9,FALSE),IFERROR(VLOOKUP(C276,Preparos!$A:$D,4,FALSE),"")))</f>
      </c>
      <c r="F276" s="8">
        <f>IF(C276="","",IFERROR(VLOOKUP(C276,Insumos!$A:$G,7,FALSE),100))</f>
      </c>
      <c r="G276" s="9">
        <f>IF(C276="","",IFERROR(VLOOKUP(C276,Insumos!$A:$J,10,FALSE),IFERROR(VLOOKUP(C276,Preparos!$A:$F,6,FALSE),0)))</f>
      </c>
      <c r="H276" s="10">
        <f>IF(OR(D276="",G276="",F276=0),"",D276*G276*(100/F276))</f>
      </c>
      <c r="I276" s="5"/>
    </row>
    <row r="277" spans="1:9" x14ac:dyDescent="0.25">
      <c r="A277" s="7"/>
      <c r="B277" s="8">
        <f>IF(C277="","",IF(ISNUMBER(MATCH(C277,Insumos!$A:$A,0)),"insumo",IF(ISNUMBER(MATCH(C277,Preparos!$A:$A,0)),"preparo","")))</f>
      </c>
      <c r="C277" s="7"/>
      <c r="D277" s="7"/>
      <c r="E277" s="8">
        <f>IF(C277="","",IFERROR(VLOOKUP(C277,Insumos!$A:$I,9,FALSE),IFERROR(VLOOKUP(C277,Preparos!$A:$D,4,FALSE),"")))</f>
      </c>
      <c r="F277" s="8">
        <f>IF(C277="","",IFERROR(VLOOKUP(C277,Insumos!$A:$G,7,FALSE),100))</f>
      </c>
      <c r="G277" s="9">
        <f>IF(C277="","",IFERROR(VLOOKUP(C277,Insumos!$A:$J,10,FALSE),IFERROR(VLOOKUP(C277,Preparos!$A:$F,6,FALSE),0)))</f>
      </c>
      <c r="H277" s="10">
        <f>IF(OR(D277="",G277="",F277=0),"",D277*G277*(100/F277))</f>
      </c>
      <c r="I277" s="5"/>
    </row>
    <row r="278" spans="1:9" x14ac:dyDescent="0.25">
      <c r="A278" s="7"/>
      <c r="B278" s="8">
        <f>IF(C278="","",IF(ISNUMBER(MATCH(C278,Insumos!$A:$A,0)),"insumo",IF(ISNUMBER(MATCH(C278,Preparos!$A:$A,0)),"preparo","")))</f>
      </c>
      <c r="C278" s="7"/>
      <c r="D278" s="7"/>
      <c r="E278" s="8">
        <f>IF(C278="","",IFERROR(VLOOKUP(C278,Insumos!$A:$I,9,FALSE),IFERROR(VLOOKUP(C278,Preparos!$A:$D,4,FALSE),"")))</f>
      </c>
      <c r="F278" s="8">
        <f>IF(C278="","",IFERROR(VLOOKUP(C278,Insumos!$A:$G,7,FALSE),100))</f>
      </c>
      <c r="G278" s="9">
        <f>IF(C278="","",IFERROR(VLOOKUP(C278,Insumos!$A:$J,10,FALSE),IFERROR(VLOOKUP(C278,Preparos!$A:$F,6,FALSE),0)))</f>
      </c>
      <c r="H278" s="10">
        <f>IF(OR(D278="",G278="",F278=0),"",D278*G278*(100/F278))</f>
      </c>
      <c r="I278" s="5"/>
    </row>
    <row r="279" spans="1:9" x14ac:dyDescent="0.25">
      <c r="A279" s="7"/>
      <c r="B279" s="8">
        <f>IF(C279="","",IF(ISNUMBER(MATCH(C279,Insumos!$A:$A,0)),"insumo",IF(ISNUMBER(MATCH(C279,Preparos!$A:$A,0)),"preparo","")))</f>
      </c>
      <c r="C279" s="7"/>
      <c r="D279" s="7"/>
      <c r="E279" s="8">
        <f>IF(C279="","",IFERROR(VLOOKUP(C279,Insumos!$A:$I,9,FALSE),IFERROR(VLOOKUP(C279,Preparos!$A:$D,4,FALSE),"")))</f>
      </c>
      <c r="F279" s="8">
        <f>IF(C279="","",IFERROR(VLOOKUP(C279,Insumos!$A:$G,7,FALSE),100))</f>
      </c>
      <c r="G279" s="9">
        <f>IF(C279="","",IFERROR(VLOOKUP(C279,Insumos!$A:$J,10,FALSE),IFERROR(VLOOKUP(C279,Preparos!$A:$F,6,FALSE),0)))</f>
      </c>
      <c r="H279" s="10">
        <f>IF(OR(D279="",G279="",F279=0),"",D279*G279*(100/F279))</f>
      </c>
      <c r="I279" s="5"/>
    </row>
    <row r="280" spans="1:9" x14ac:dyDescent="0.25">
      <c r="A280" s="7"/>
      <c r="B280" s="8">
        <f>IF(C280="","",IF(ISNUMBER(MATCH(C280,Insumos!$A:$A,0)),"insumo",IF(ISNUMBER(MATCH(C280,Preparos!$A:$A,0)),"preparo","")))</f>
      </c>
      <c r="C280" s="7"/>
      <c r="D280" s="7"/>
      <c r="E280" s="8">
        <f>IF(C280="","",IFERROR(VLOOKUP(C280,Insumos!$A:$I,9,FALSE),IFERROR(VLOOKUP(C280,Preparos!$A:$D,4,FALSE),"")))</f>
      </c>
      <c r="F280" s="8">
        <f>IF(C280="","",IFERROR(VLOOKUP(C280,Insumos!$A:$G,7,FALSE),100))</f>
      </c>
      <c r="G280" s="9">
        <f>IF(C280="","",IFERROR(VLOOKUP(C280,Insumos!$A:$J,10,FALSE),IFERROR(VLOOKUP(C280,Preparos!$A:$F,6,FALSE),0)))</f>
      </c>
      <c r="H280" s="10">
        <f>IF(OR(D280="",G280="",F280=0),"",D280*G280*(100/F280))</f>
      </c>
      <c r="I280" s="5"/>
    </row>
    <row r="281" spans="1:9" x14ac:dyDescent="0.25">
      <c r="A281" s="7"/>
      <c r="B281" s="8">
        <f>IF(C281="","",IF(ISNUMBER(MATCH(C281,Insumos!$A:$A,0)),"insumo",IF(ISNUMBER(MATCH(C281,Preparos!$A:$A,0)),"preparo","")))</f>
      </c>
      <c r="C281" s="7"/>
      <c r="D281" s="7"/>
      <c r="E281" s="8">
        <f>IF(C281="","",IFERROR(VLOOKUP(C281,Insumos!$A:$I,9,FALSE),IFERROR(VLOOKUP(C281,Preparos!$A:$D,4,FALSE),"")))</f>
      </c>
      <c r="F281" s="8">
        <f>IF(C281="","",IFERROR(VLOOKUP(C281,Insumos!$A:$G,7,FALSE),100))</f>
      </c>
      <c r="G281" s="9">
        <f>IF(C281="","",IFERROR(VLOOKUP(C281,Insumos!$A:$J,10,FALSE),IFERROR(VLOOKUP(C281,Preparos!$A:$F,6,FALSE),0)))</f>
      </c>
      <c r="H281" s="10">
        <f>IF(OR(D281="",G281="",F281=0),"",D281*G281*(100/F281))</f>
      </c>
      <c r="I281" s="5"/>
    </row>
    <row r="282" spans="1:9" x14ac:dyDescent="0.25">
      <c r="A282" s="7"/>
      <c r="B282" s="8">
        <f>IF(C282="","",IF(ISNUMBER(MATCH(C282,Insumos!$A:$A,0)),"insumo",IF(ISNUMBER(MATCH(C282,Preparos!$A:$A,0)),"preparo","")))</f>
      </c>
      <c r="C282" s="7"/>
      <c r="D282" s="7"/>
      <c r="E282" s="8">
        <f>IF(C282="","",IFERROR(VLOOKUP(C282,Insumos!$A:$I,9,FALSE),IFERROR(VLOOKUP(C282,Preparos!$A:$D,4,FALSE),"")))</f>
      </c>
      <c r="F282" s="8">
        <f>IF(C282="","",IFERROR(VLOOKUP(C282,Insumos!$A:$G,7,FALSE),100))</f>
      </c>
      <c r="G282" s="9">
        <f>IF(C282="","",IFERROR(VLOOKUP(C282,Insumos!$A:$J,10,FALSE),IFERROR(VLOOKUP(C282,Preparos!$A:$F,6,FALSE),0)))</f>
      </c>
      <c r="H282" s="10">
        <f>IF(OR(D282="",G282="",F282=0),"",D282*G282*(100/F282))</f>
      </c>
      <c r="I282" s="5"/>
    </row>
    <row r="283" spans="1:9" x14ac:dyDescent="0.25">
      <c r="A283" s="7"/>
      <c r="B283" s="8">
        <f>IF(C283="","",IF(ISNUMBER(MATCH(C283,Insumos!$A:$A,0)),"insumo",IF(ISNUMBER(MATCH(C283,Preparos!$A:$A,0)),"preparo","")))</f>
      </c>
      <c r="C283" s="7"/>
      <c r="D283" s="7"/>
      <c r="E283" s="8">
        <f>IF(C283="","",IFERROR(VLOOKUP(C283,Insumos!$A:$I,9,FALSE),IFERROR(VLOOKUP(C283,Preparos!$A:$D,4,FALSE),"")))</f>
      </c>
      <c r="F283" s="8">
        <f>IF(C283="","",IFERROR(VLOOKUP(C283,Insumos!$A:$G,7,FALSE),100))</f>
      </c>
      <c r="G283" s="9">
        <f>IF(C283="","",IFERROR(VLOOKUP(C283,Insumos!$A:$J,10,FALSE),IFERROR(VLOOKUP(C283,Preparos!$A:$F,6,FALSE),0)))</f>
      </c>
      <c r="H283" s="10">
        <f>IF(OR(D283="",G283="",F283=0),"",D283*G283*(100/F283))</f>
      </c>
      <c r="I283" s="5"/>
    </row>
    <row r="284" spans="1:9" x14ac:dyDescent="0.25">
      <c r="A284" s="7"/>
      <c r="B284" s="8">
        <f>IF(C284="","",IF(ISNUMBER(MATCH(C284,Insumos!$A:$A,0)),"insumo",IF(ISNUMBER(MATCH(C284,Preparos!$A:$A,0)),"preparo","")))</f>
      </c>
      <c r="C284" s="7"/>
      <c r="D284" s="7"/>
      <c r="E284" s="8">
        <f>IF(C284="","",IFERROR(VLOOKUP(C284,Insumos!$A:$I,9,FALSE),IFERROR(VLOOKUP(C284,Preparos!$A:$D,4,FALSE),"")))</f>
      </c>
      <c r="F284" s="8">
        <f>IF(C284="","",IFERROR(VLOOKUP(C284,Insumos!$A:$G,7,FALSE),100))</f>
      </c>
      <c r="G284" s="9">
        <f>IF(C284="","",IFERROR(VLOOKUP(C284,Insumos!$A:$J,10,FALSE),IFERROR(VLOOKUP(C284,Preparos!$A:$F,6,FALSE),0)))</f>
      </c>
      <c r="H284" s="10">
        <f>IF(OR(D284="",G284="",F284=0),"",D284*G284*(100/F284))</f>
      </c>
      <c r="I284" s="5"/>
    </row>
    <row r="285" spans="1:9" x14ac:dyDescent="0.25">
      <c r="A285" s="7"/>
      <c r="B285" s="8">
        <f>IF(C285="","",IF(ISNUMBER(MATCH(C285,Insumos!$A:$A,0)),"insumo",IF(ISNUMBER(MATCH(C285,Preparos!$A:$A,0)),"preparo","")))</f>
      </c>
      <c r="C285" s="7"/>
      <c r="D285" s="7"/>
      <c r="E285" s="8">
        <f>IF(C285="","",IFERROR(VLOOKUP(C285,Insumos!$A:$I,9,FALSE),IFERROR(VLOOKUP(C285,Preparos!$A:$D,4,FALSE),"")))</f>
      </c>
      <c r="F285" s="8">
        <f>IF(C285="","",IFERROR(VLOOKUP(C285,Insumos!$A:$G,7,FALSE),100))</f>
      </c>
      <c r="G285" s="9">
        <f>IF(C285="","",IFERROR(VLOOKUP(C285,Insumos!$A:$J,10,FALSE),IFERROR(VLOOKUP(C285,Preparos!$A:$F,6,FALSE),0)))</f>
      </c>
      <c r="H285" s="10">
        <f>IF(OR(D285="",G285="",F285=0),"",D285*G285*(100/F285))</f>
      </c>
      <c r="I285" s="5"/>
    </row>
    <row r="286" spans="1:9" x14ac:dyDescent="0.25">
      <c r="A286" s="7"/>
      <c r="B286" s="8">
        <f>IF(C286="","",IF(ISNUMBER(MATCH(C286,Insumos!$A:$A,0)),"insumo",IF(ISNUMBER(MATCH(C286,Preparos!$A:$A,0)),"preparo","")))</f>
      </c>
      <c r="C286" s="7"/>
      <c r="D286" s="7"/>
      <c r="E286" s="8">
        <f>IF(C286="","",IFERROR(VLOOKUP(C286,Insumos!$A:$I,9,FALSE),IFERROR(VLOOKUP(C286,Preparos!$A:$D,4,FALSE),"")))</f>
      </c>
      <c r="F286" s="8">
        <f>IF(C286="","",IFERROR(VLOOKUP(C286,Insumos!$A:$G,7,FALSE),100))</f>
      </c>
      <c r="G286" s="9">
        <f>IF(C286="","",IFERROR(VLOOKUP(C286,Insumos!$A:$J,10,FALSE),IFERROR(VLOOKUP(C286,Preparos!$A:$F,6,FALSE),0)))</f>
      </c>
      <c r="H286" s="10">
        <f>IF(OR(D286="",G286="",F286=0),"",D286*G286*(100/F286))</f>
      </c>
      <c r="I286" s="5"/>
    </row>
    <row r="287" spans="1:9" x14ac:dyDescent="0.25">
      <c r="A287" s="7"/>
      <c r="B287" s="8">
        <f>IF(C287="","",IF(ISNUMBER(MATCH(C287,Insumos!$A:$A,0)),"insumo",IF(ISNUMBER(MATCH(C287,Preparos!$A:$A,0)),"preparo","")))</f>
      </c>
      <c r="C287" s="7"/>
      <c r="D287" s="7"/>
      <c r="E287" s="8">
        <f>IF(C287="","",IFERROR(VLOOKUP(C287,Insumos!$A:$I,9,FALSE),IFERROR(VLOOKUP(C287,Preparos!$A:$D,4,FALSE),"")))</f>
      </c>
      <c r="F287" s="8">
        <f>IF(C287="","",IFERROR(VLOOKUP(C287,Insumos!$A:$G,7,FALSE),100))</f>
      </c>
      <c r="G287" s="9">
        <f>IF(C287="","",IFERROR(VLOOKUP(C287,Insumos!$A:$J,10,FALSE),IFERROR(VLOOKUP(C287,Preparos!$A:$F,6,FALSE),0)))</f>
      </c>
      <c r="H287" s="10">
        <f>IF(OR(D287="",G287="",F287=0),"",D287*G287*(100/F287))</f>
      </c>
      <c r="I287" s="5"/>
    </row>
    <row r="288" spans="1:9" x14ac:dyDescent="0.25">
      <c r="A288" s="7"/>
      <c r="B288" s="8">
        <f>IF(C288="","",IF(ISNUMBER(MATCH(C288,Insumos!$A:$A,0)),"insumo",IF(ISNUMBER(MATCH(C288,Preparos!$A:$A,0)),"preparo","")))</f>
      </c>
      <c r="C288" s="7"/>
      <c r="D288" s="7"/>
      <c r="E288" s="8">
        <f>IF(C288="","",IFERROR(VLOOKUP(C288,Insumos!$A:$I,9,FALSE),IFERROR(VLOOKUP(C288,Preparos!$A:$D,4,FALSE),"")))</f>
      </c>
      <c r="F288" s="8">
        <f>IF(C288="","",IFERROR(VLOOKUP(C288,Insumos!$A:$G,7,FALSE),100))</f>
      </c>
      <c r="G288" s="9">
        <f>IF(C288="","",IFERROR(VLOOKUP(C288,Insumos!$A:$J,10,FALSE),IFERROR(VLOOKUP(C288,Preparos!$A:$F,6,FALSE),0)))</f>
      </c>
      <c r="H288" s="10">
        <f>IF(OR(D288="",G288="",F288=0),"",D288*G288*(100/F288))</f>
      </c>
      <c r="I288" s="5"/>
    </row>
    <row r="289" spans="1:9" x14ac:dyDescent="0.25">
      <c r="A289" s="7"/>
      <c r="B289" s="8">
        <f>IF(C289="","",IF(ISNUMBER(MATCH(C289,Insumos!$A:$A,0)),"insumo",IF(ISNUMBER(MATCH(C289,Preparos!$A:$A,0)),"preparo","")))</f>
      </c>
      <c r="C289" s="7"/>
      <c r="D289" s="7"/>
      <c r="E289" s="8">
        <f>IF(C289="","",IFERROR(VLOOKUP(C289,Insumos!$A:$I,9,FALSE),IFERROR(VLOOKUP(C289,Preparos!$A:$D,4,FALSE),"")))</f>
      </c>
      <c r="F289" s="8">
        <f>IF(C289="","",IFERROR(VLOOKUP(C289,Insumos!$A:$G,7,FALSE),100))</f>
      </c>
      <c r="G289" s="9">
        <f>IF(C289="","",IFERROR(VLOOKUP(C289,Insumos!$A:$J,10,FALSE),IFERROR(VLOOKUP(C289,Preparos!$A:$F,6,FALSE),0)))</f>
      </c>
      <c r="H289" s="10">
        <f>IF(OR(D289="",G289="",F289=0),"",D289*G289*(100/F289))</f>
      </c>
      <c r="I289" s="5"/>
    </row>
    <row r="290" spans="1:9" x14ac:dyDescent="0.25">
      <c r="A290" s="7"/>
      <c r="B290" s="8">
        <f>IF(C290="","",IF(ISNUMBER(MATCH(C290,Insumos!$A:$A,0)),"insumo",IF(ISNUMBER(MATCH(C290,Preparos!$A:$A,0)),"preparo","")))</f>
      </c>
      <c r="C290" s="7"/>
      <c r="D290" s="7"/>
      <c r="E290" s="8">
        <f>IF(C290="","",IFERROR(VLOOKUP(C290,Insumos!$A:$I,9,FALSE),IFERROR(VLOOKUP(C290,Preparos!$A:$D,4,FALSE),"")))</f>
      </c>
      <c r="F290" s="8">
        <f>IF(C290="","",IFERROR(VLOOKUP(C290,Insumos!$A:$G,7,FALSE),100))</f>
      </c>
      <c r="G290" s="9">
        <f>IF(C290="","",IFERROR(VLOOKUP(C290,Insumos!$A:$J,10,FALSE),IFERROR(VLOOKUP(C290,Preparos!$A:$F,6,FALSE),0)))</f>
      </c>
      <c r="H290" s="10">
        <f>IF(OR(D290="",G290="",F290=0),"",D290*G290*(100/F290))</f>
      </c>
      <c r="I290" s="5"/>
    </row>
    <row r="291" spans="1:9" x14ac:dyDescent="0.25">
      <c r="A291" s="7"/>
      <c r="B291" s="8">
        <f>IF(C291="","",IF(ISNUMBER(MATCH(C291,Insumos!$A:$A,0)),"insumo",IF(ISNUMBER(MATCH(C291,Preparos!$A:$A,0)),"preparo","")))</f>
      </c>
      <c r="C291" s="7"/>
      <c r="D291" s="7"/>
      <c r="E291" s="8">
        <f>IF(C291="","",IFERROR(VLOOKUP(C291,Insumos!$A:$I,9,FALSE),IFERROR(VLOOKUP(C291,Preparos!$A:$D,4,FALSE),"")))</f>
      </c>
      <c r="F291" s="8">
        <f>IF(C291="","",IFERROR(VLOOKUP(C291,Insumos!$A:$G,7,FALSE),100))</f>
      </c>
      <c r="G291" s="9">
        <f>IF(C291="","",IFERROR(VLOOKUP(C291,Insumos!$A:$J,10,FALSE),IFERROR(VLOOKUP(C291,Preparos!$A:$F,6,FALSE),0)))</f>
      </c>
      <c r="H291" s="10">
        <f>IF(OR(D291="",G291="",F291=0),"",D291*G291*(100/F291))</f>
      </c>
      <c r="I291" s="5"/>
    </row>
    <row r="292" spans="1:9" x14ac:dyDescent="0.25">
      <c r="A292" s="7"/>
      <c r="B292" s="8">
        <f>IF(C292="","",IF(ISNUMBER(MATCH(C292,Insumos!$A:$A,0)),"insumo",IF(ISNUMBER(MATCH(C292,Preparos!$A:$A,0)),"preparo","")))</f>
      </c>
      <c r="C292" s="7"/>
      <c r="D292" s="7"/>
      <c r="E292" s="8">
        <f>IF(C292="","",IFERROR(VLOOKUP(C292,Insumos!$A:$I,9,FALSE),IFERROR(VLOOKUP(C292,Preparos!$A:$D,4,FALSE),"")))</f>
      </c>
      <c r="F292" s="8">
        <f>IF(C292="","",IFERROR(VLOOKUP(C292,Insumos!$A:$G,7,FALSE),100))</f>
      </c>
      <c r="G292" s="9">
        <f>IF(C292="","",IFERROR(VLOOKUP(C292,Insumos!$A:$J,10,FALSE),IFERROR(VLOOKUP(C292,Preparos!$A:$F,6,FALSE),0)))</f>
      </c>
      <c r="H292" s="10">
        <f>IF(OR(D292="",G292="",F292=0),"",D292*G292*(100/F292))</f>
      </c>
      <c r="I292" s="5"/>
    </row>
    <row r="293" spans="1:9" x14ac:dyDescent="0.25">
      <c r="A293" s="7"/>
      <c r="B293" s="8">
        <f>IF(C293="","",IF(ISNUMBER(MATCH(C293,Insumos!$A:$A,0)),"insumo",IF(ISNUMBER(MATCH(C293,Preparos!$A:$A,0)),"preparo","")))</f>
      </c>
      <c r="C293" s="7"/>
      <c r="D293" s="7"/>
      <c r="E293" s="8">
        <f>IF(C293="","",IFERROR(VLOOKUP(C293,Insumos!$A:$I,9,FALSE),IFERROR(VLOOKUP(C293,Preparos!$A:$D,4,FALSE),"")))</f>
      </c>
      <c r="F293" s="8">
        <f>IF(C293="","",IFERROR(VLOOKUP(C293,Insumos!$A:$G,7,FALSE),100))</f>
      </c>
      <c r="G293" s="9">
        <f>IF(C293="","",IFERROR(VLOOKUP(C293,Insumos!$A:$J,10,FALSE),IFERROR(VLOOKUP(C293,Preparos!$A:$F,6,FALSE),0)))</f>
      </c>
      <c r="H293" s="10">
        <f>IF(OR(D293="",G293="",F293=0),"",D293*G293*(100/F293))</f>
      </c>
      <c r="I293" s="5"/>
    </row>
    <row r="294" spans="1:9" x14ac:dyDescent="0.25">
      <c r="A294" s="7"/>
      <c r="B294" s="8">
        <f>IF(C294="","",IF(ISNUMBER(MATCH(C294,Insumos!$A:$A,0)),"insumo",IF(ISNUMBER(MATCH(C294,Preparos!$A:$A,0)),"preparo","")))</f>
      </c>
      <c r="C294" s="7"/>
      <c r="D294" s="7"/>
      <c r="E294" s="8">
        <f>IF(C294="","",IFERROR(VLOOKUP(C294,Insumos!$A:$I,9,FALSE),IFERROR(VLOOKUP(C294,Preparos!$A:$D,4,FALSE),"")))</f>
      </c>
      <c r="F294" s="8">
        <f>IF(C294="","",IFERROR(VLOOKUP(C294,Insumos!$A:$G,7,FALSE),100))</f>
      </c>
      <c r="G294" s="9">
        <f>IF(C294="","",IFERROR(VLOOKUP(C294,Insumos!$A:$J,10,FALSE),IFERROR(VLOOKUP(C294,Preparos!$A:$F,6,FALSE),0)))</f>
      </c>
      <c r="H294" s="10">
        <f>IF(OR(D294="",G294="",F294=0),"",D294*G294*(100/F294))</f>
      </c>
      <c r="I294" s="5"/>
    </row>
    <row r="295" spans="1:9" x14ac:dyDescent="0.25">
      <c r="A295" s="7"/>
      <c r="B295" s="8">
        <f>IF(C295="","",IF(ISNUMBER(MATCH(C295,Insumos!$A:$A,0)),"insumo",IF(ISNUMBER(MATCH(C295,Preparos!$A:$A,0)),"preparo","")))</f>
      </c>
      <c r="C295" s="7"/>
      <c r="D295" s="7"/>
      <c r="E295" s="8">
        <f>IF(C295="","",IFERROR(VLOOKUP(C295,Insumos!$A:$I,9,FALSE),IFERROR(VLOOKUP(C295,Preparos!$A:$D,4,FALSE),"")))</f>
      </c>
      <c r="F295" s="8">
        <f>IF(C295="","",IFERROR(VLOOKUP(C295,Insumos!$A:$G,7,FALSE),100))</f>
      </c>
      <c r="G295" s="9">
        <f>IF(C295="","",IFERROR(VLOOKUP(C295,Insumos!$A:$J,10,FALSE),IFERROR(VLOOKUP(C295,Preparos!$A:$F,6,FALSE),0)))</f>
      </c>
      <c r="H295" s="10">
        <f>IF(OR(D295="",G295="",F295=0),"",D295*G295*(100/F295))</f>
      </c>
      <c r="I295" s="5"/>
    </row>
    <row r="296" spans="1:9" x14ac:dyDescent="0.25">
      <c r="A296" s="7"/>
      <c r="B296" s="8">
        <f>IF(C296="","",IF(ISNUMBER(MATCH(C296,Insumos!$A:$A,0)),"insumo",IF(ISNUMBER(MATCH(C296,Preparos!$A:$A,0)),"preparo","")))</f>
      </c>
      <c r="C296" s="7"/>
      <c r="D296" s="7"/>
      <c r="E296" s="8">
        <f>IF(C296="","",IFERROR(VLOOKUP(C296,Insumos!$A:$I,9,FALSE),IFERROR(VLOOKUP(C296,Preparos!$A:$D,4,FALSE),"")))</f>
      </c>
      <c r="F296" s="8">
        <f>IF(C296="","",IFERROR(VLOOKUP(C296,Insumos!$A:$G,7,FALSE),100))</f>
      </c>
      <c r="G296" s="9">
        <f>IF(C296="","",IFERROR(VLOOKUP(C296,Insumos!$A:$J,10,FALSE),IFERROR(VLOOKUP(C296,Preparos!$A:$F,6,FALSE),0)))</f>
      </c>
      <c r="H296" s="10">
        <f>IF(OR(D296="",G296="",F296=0),"",D296*G296*(100/F296))</f>
      </c>
      <c r="I296" s="5"/>
    </row>
    <row r="297" spans="1:9" x14ac:dyDescent="0.25">
      <c r="A297" s="7"/>
      <c r="B297" s="8">
        <f>IF(C297="","",IF(ISNUMBER(MATCH(C297,Insumos!$A:$A,0)),"insumo",IF(ISNUMBER(MATCH(C297,Preparos!$A:$A,0)),"preparo","")))</f>
      </c>
      <c r="C297" s="7"/>
      <c r="D297" s="7"/>
      <c r="E297" s="8">
        <f>IF(C297="","",IFERROR(VLOOKUP(C297,Insumos!$A:$I,9,FALSE),IFERROR(VLOOKUP(C297,Preparos!$A:$D,4,FALSE),"")))</f>
      </c>
      <c r="F297" s="8">
        <f>IF(C297="","",IFERROR(VLOOKUP(C297,Insumos!$A:$G,7,FALSE),100))</f>
      </c>
      <c r="G297" s="9">
        <f>IF(C297="","",IFERROR(VLOOKUP(C297,Insumos!$A:$J,10,FALSE),IFERROR(VLOOKUP(C297,Preparos!$A:$F,6,FALSE),0)))</f>
      </c>
      <c r="H297" s="10">
        <f>IF(OR(D297="",G297="",F297=0),"",D297*G297*(100/F297))</f>
      </c>
      <c r="I297" s="5"/>
    </row>
    <row r="298" spans="1:9" x14ac:dyDescent="0.25">
      <c r="A298" s="7"/>
      <c r="B298" s="8">
        <f>IF(C298="","",IF(ISNUMBER(MATCH(C298,Insumos!$A:$A,0)),"insumo",IF(ISNUMBER(MATCH(C298,Preparos!$A:$A,0)),"preparo","")))</f>
      </c>
      <c r="C298" s="7"/>
      <c r="D298" s="7"/>
      <c r="E298" s="8">
        <f>IF(C298="","",IFERROR(VLOOKUP(C298,Insumos!$A:$I,9,FALSE),IFERROR(VLOOKUP(C298,Preparos!$A:$D,4,FALSE),"")))</f>
      </c>
      <c r="F298" s="8">
        <f>IF(C298="","",IFERROR(VLOOKUP(C298,Insumos!$A:$G,7,FALSE),100))</f>
      </c>
      <c r="G298" s="9">
        <f>IF(C298="","",IFERROR(VLOOKUP(C298,Insumos!$A:$J,10,FALSE),IFERROR(VLOOKUP(C298,Preparos!$A:$F,6,FALSE),0)))</f>
      </c>
      <c r="H298" s="10">
        <f>IF(OR(D298="",G298="",F298=0),"",D298*G298*(100/F298))</f>
      </c>
      <c r="I298" s="5"/>
    </row>
    <row r="299" spans="1:9" x14ac:dyDescent="0.25">
      <c r="A299" s="7"/>
      <c r="B299" s="8">
        <f>IF(C299="","",IF(ISNUMBER(MATCH(C299,Insumos!$A:$A,0)),"insumo",IF(ISNUMBER(MATCH(C299,Preparos!$A:$A,0)),"preparo","")))</f>
      </c>
      <c r="C299" s="7"/>
      <c r="D299" s="7"/>
      <c r="E299" s="8">
        <f>IF(C299="","",IFERROR(VLOOKUP(C299,Insumos!$A:$I,9,FALSE),IFERROR(VLOOKUP(C299,Preparos!$A:$D,4,FALSE),"")))</f>
      </c>
      <c r="F299" s="8">
        <f>IF(C299="","",IFERROR(VLOOKUP(C299,Insumos!$A:$G,7,FALSE),100))</f>
      </c>
      <c r="G299" s="9">
        <f>IF(C299="","",IFERROR(VLOOKUP(C299,Insumos!$A:$J,10,FALSE),IFERROR(VLOOKUP(C299,Preparos!$A:$F,6,FALSE),0)))</f>
      </c>
      <c r="H299" s="10">
        <f>IF(OR(D299="",G299="",F299=0),"",D299*G299*(100/F299))</f>
      </c>
      <c r="I299" s="5"/>
    </row>
    <row r="300" spans="1:9" x14ac:dyDescent="0.25">
      <c r="A300" s="7"/>
      <c r="B300" s="8">
        <f>IF(C300="","",IF(ISNUMBER(MATCH(C300,Insumos!$A:$A,0)),"insumo",IF(ISNUMBER(MATCH(C300,Preparos!$A:$A,0)),"preparo","")))</f>
      </c>
      <c r="C300" s="7"/>
      <c r="D300" s="7"/>
      <c r="E300" s="8">
        <f>IF(C300="","",IFERROR(VLOOKUP(C300,Insumos!$A:$I,9,FALSE),IFERROR(VLOOKUP(C300,Preparos!$A:$D,4,FALSE),"")))</f>
      </c>
      <c r="F300" s="8">
        <f>IF(C300="","",IFERROR(VLOOKUP(C300,Insumos!$A:$G,7,FALSE),100))</f>
      </c>
      <c r="G300" s="9">
        <f>IF(C300="","",IFERROR(VLOOKUP(C300,Insumos!$A:$J,10,FALSE),IFERROR(VLOOKUP(C300,Preparos!$A:$F,6,FALSE),0)))</f>
      </c>
      <c r="H300" s="10">
        <f>IF(OR(D300="",G300="",F300=0),"",D300*G300*(100/F300))</f>
      </c>
      <c r="I300" s="5"/>
    </row>
    <row r="301" spans="1:9" x14ac:dyDescent="0.25">
      <c r="A301" s="7"/>
      <c r="B301" s="8">
        <f>IF(C301="","",IF(ISNUMBER(MATCH(C301,Insumos!$A:$A,0)),"insumo",IF(ISNUMBER(MATCH(C301,Preparos!$A:$A,0)),"preparo","")))</f>
      </c>
      <c r="C301" s="7"/>
      <c r="D301" s="7"/>
      <c r="E301" s="8">
        <f>IF(C301="","",IFERROR(VLOOKUP(C301,Insumos!$A:$I,9,FALSE),IFERROR(VLOOKUP(C301,Preparos!$A:$D,4,FALSE),"")))</f>
      </c>
      <c r="F301" s="8">
        <f>IF(C301="","",IFERROR(VLOOKUP(C301,Insumos!$A:$G,7,FALSE),100))</f>
      </c>
      <c r="G301" s="9">
        <f>IF(C301="","",IFERROR(VLOOKUP(C301,Insumos!$A:$J,10,FALSE),IFERROR(VLOOKUP(C301,Preparos!$A:$F,6,FALSE),0)))</f>
      </c>
      <c r="H301" s="10">
        <f>IF(OR(D301="",G301="",F301=0),"",D301*G301*(100/F301))</f>
      </c>
      <c r="I301" s="5"/>
    </row>
    <row r="302" spans="1:9" x14ac:dyDescent="0.25">
      <c r="A302" s="7"/>
      <c r="B302" s="8">
        <f>IF(C302="","",IF(ISNUMBER(MATCH(C302,Insumos!$A:$A,0)),"insumo",IF(ISNUMBER(MATCH(C302,Preparos!$A:$A,0)),"preparo","")))</f>
      </c>
      <c r="C302" s="7"/>
      <c r="D302" s="7"/>
      <c r="E302" s="8">
        <f>IF(C302="","",IFERROR(VLOOKUP(C302,Insumos!$A:$I,9,FALSE),IFERROR(VLOOKUP(C302,Preparos!$A:$D,4,FALSE),"")))</f>
      </c>
      <c r="F302" s="8">
        <f>IF(C302="","",IFERROR(VLOOKUP(C302,Insumos!$A:$G,7,FALSE),100))</f>
      </c>
      <c r="G302" s="9">
        <f>IF(C302="","",IFERROR(VLOOKUP(C302,Insumos!$A:$J,10,FALSE),IFERROR(VLOOKUP(C302,Preparos!$A:$F,6,FALSE),0)))</f>
      </c>
      <c r="H302" s="10">
        <f>IF(OR(D302="",G302="",F302=0),"",D302*G302*(100/F302))</f>
      </c>
      <c r="I302" s="5"/>
    </row>
    <row r="303" spans="1:9" x14ac:dyDescent="0.25">
      <c r="A303" s="7"/>
      <c r="B303" s="8">
        <f>IF(C303="","",IF(ISNUMBER(MATCH(C303,Insumos!$A:$A,0)),"insumo",IF(ISNUMBER(MATCH(C303,Preparos!$A:$A,0)),"preparo","")))</f>
      </c>
      <c r="C303" s="7"/>
      <c r="D303" s="7"/>
      <c r="E303" s="8">
        <f>IF(C303="","",IFERROR(VLOOKUP(C303,Insumos!$A:$I,9,FALSE),IFERROR(VLOOKUP(C303,Preparos!$A:$D,4,FALSE),"")))</f>
      </c>
      <c r="F303" s="8">
        <f>IF(C303="","",IFERROR(VLOOKUP(C303,Insumos!$A:$G,7,FALSE),100))</f>
      </c>
      <c r="G303" s="9">
        <f>IF(C303="","",IFERROR(VLOOKUP(C303,Insumos!$A:$J,10,FALSE),IFERROR(VLOOKUP(C303,Preparos!$A:$F,6,FALSE),0)))</f>
      </c>
      <c r="H303" s="10">
        <f>IF(OR(D303="",G303="",F303=0),"",D303*G303*(100/F303))</f>
      </c>
      <c r="I303" s="5"/>
    </row>
    <row r="304" spans="1:9" x14ac:dyDescent="0.25">
      <c r="A304" s="7"/>
      <c r="B304" s="8">
        <f>IF(C304="","",IF(ISNUMBER(MATCH(C304,Insumos!$A:$A,0)),"insumo",IF(ISNUMBER(MATCH(C304,Preparos!$A:$A,0)),"preparo","")))</f>
      </c>
      <c r="C304" s="7"/>
      <c r="D304" s="7"/>
      <c r="E304" s="8">
        <f>IF(C304="","",IFERROR(VLOOKUP(C304,Insumos!$A:$I,9,FALSE),IFERROR(VLOOKUP(C304,Preparos!$A:$D,4,FALSE),"")))</f>
      </c>
      <c r="F304" s="8">
        <f>IF(C304="","",IFERROR(VLOOKUP(C304,Insumos!$A:$G,7,FALSE),100))</f>
      </c>
      <c r="G304" s="9">
        <f>IF(C304="","",IFERROR(VLOOKUP(C304,Insumos!$A:$J,10,FALSE),IFERROR(VLOOKUP(C304,Preparos!$A:$F,6,FALSE),0)))</f>
      </c>
      <c r="H304" s="10">
        <f>IF(OR(D304="",G304="",F304=0),"",D304*G304*(100/F304))</f>
      </c>
      <c r="I304" s="5"/>
    </row>
    <row r="305" spans="1:9" x14ac:dyDescent="0.25">
      <c r="A305" s="7"/>
      <c r="B305" s="8">
        <f>IF(C305="","",IF(ISNUMBER(MATCH(C305,Insumos!$A:$A,0)),"insumo",IF(ISNUMBER(MATCH(C305,Preparos!$A:$A,0)),"preparo","")))</f>
      </c>
      <c r="C305" s="7"/>
      <c r="D305" s="7"/>
      <c r="E305" s="8">
        <f>IF(C305="","",IFERROR(VLOOKUP(C305,Insumos!$A:$I,9,FALSE),IFERROR(VLOOKUP(C305,Preparos!$A:$D,4,FALSE),"")))</f>
      </c>
      <c r="F305" s="8">
        <f>IF(C305="","",IFERROR(VLOOKUP(C305,Insumos!$A:$G,7,FALSE),100))</f>
      </c>
      <c r="G305" s="9">
        <f>IF(C305="","",IFERROR(VLOOKUP(C305,Insumos!$A:$J,10,FALSE),IFERROR(VLOOKUP(C305,Preparos!$A:$F,6,FALSE),0)))</f>
      </c>
      <c r="H305" s="10">
        <f>IF(OR(D305="",G305="",F305=0),"",D305*G305*(100/F305))</f>
      </c>
      <c r="I305" s="5"/>
    </row>
    <row r="306" spans="1:9" x14ac:dyDescent="0.25">
      <c r="A306" s="7"/>
      <c r="B306" s="8">
        <f>IF(C306="","",IF(ISNUMBER(MATCH(C306,Insumos!$A:$A,0)),"insumo",IF(ISNUMBER(MATCH(C306,Preparos!$A:$A,0)),"preparo","")))</f>
      </c>
      <c r="C306" s="7"/>
      <c r="D306" s="7"/>
      <c r="E306" s="8">
        <f>IF(C306="","",IFERROR(VLOOKUP(C306,Insumos!$A:$I,9,FALSE),IFERROR(VLOOKUP(C306,Preparos!$A:$D,4,FALSE),"")))</f>
      </c>
      <c r="F306" s="8">
        <f>IF(C306="","",IFERROR(VLOOKUP(C306,Insumos!$A:$G,7,FALSE),100))</f>
      </c>
      <c r="G306" s="9">
        <f>IF(C306="","",IFERROR(VLOOKUP(C306,Insumos!$A:$J,10,FALSE),IFERROR(VLOOKUP(C306,Preparos!$A:$F,6,FALSE),0)))</f>
      </c>
      <c r="H306" s="10">
        <f>IF(OR(D306="",G306="",F306=0),"",D306*G306*(100/F306))</f>
      </c>
      <c r="I306" s="5"/>
    </row>
    <row r="307" spans="1:9" x14ac:dyDescent="0.25">
      <c r="A307" s="7"/>
      <c r="B307" s="8">
        <f>IF(C307="","",IF(ISNUMBER(MATCH(C307,Insumos!$A:$A,0)),"insumo",IF(ISNUMBER(MATCH(C307,Preparos!$A:$A,0)),"preparo","")))</f>
      </c>
      <c r="C307" s="7"/>
      <c r="D307" s="7"/>
      <c r="E307" s="8">
        <f>IF(C307="","",IFERROR(VLOOKUP(C307,Insumos!$A:$I,9,FALSE),IFERROR(VLOOKUP(C307,Preparos!$A:$D,4,FALSE),"")))</f>
      </c>
      <c r="F307" s="8">
        <f>IF(C307="","",IFERROR(VLOOKUP(C307,Insumos!$A:$G,7,FALSE),100))</f>
      </c>
      <c r="G307" s="9">
        <f>IF(C307="","",IFERROR(VLOOKUP(C307,Insumos!$A:$J,10,FALSE),IFERROR(VLOOKUP(C307,Preparos!$A:$F,6,FALSE),0)))</f>
      </c>
      <c r="H307" s="10">
        <f>IF(OR(D307="",G307="",F307=0),"",D307*G307*(100/F307))</f>
      </c>
      <c r="I307" s="5"/>
    </row>
    <row r="308" spans="1:9" x14ac:dyDescent="0.25">
      <c r="A308" s="7"/>
      <c r="B308" s="8">
        <f>IF(C308="","",IF(ISNUMBER(MATCH(C308,Insumos!$A:$A,0)),"insumo",IF(ISNUMBER(MATCH(C308,Preparos!$A:$A,0)),"preparo","")))</f>
      </c>
      <c r="C308" s="7"/>
      <c r="D308" s="7"/>
      <c r="E308" s="8">
        <f>IF(C308="","",IFERROR(VLOOKUP(C308,Insumos!$A:$I,9,FALSE),IFERROR(VLOOKUP(C308,Preparos!$A:$D,4,FALSE),"")))</f>
      </c>
      <c r="F308" s="8">
        <f>IF(C308="","",IFERROR(VLOOKUP(C308,Insumos!$A:$G,7,FALSE),100))</f>
      </c>
      <c r="G308" s="9">
        <f>IF(C308="","",IFERROR(VLOOKUP(C308,Insumos!$A:$J,10,FALSE),IFERROR(VLOOKUP(C308,Preparos!$A:$F,6,FALSE),0)))</f>
      </c>
      <c r="H308" s="10">
        <f>IF(OR(D308="",G308="",F308=0),"",D308*G308*(100/F308))</f>
      </c>
      <c r="I308" s="5"/>
    </row>
    <row r="309" spans="1:9" x14ac:dyDescent="0.25">
      <c r="A309" s="7"/>
      <c r="B309" s="8">
        <f>IF(C309="","",IF(ISNUMBER(MATCH(C309,Insumos!$A:$A,0)),"insumo",IF(ISNUMBER(MATCH(C309,Preparos!$A:$A,0)),"preparo","")))</f>
      </c>
      <c r="C309" s="7"/>
      <c r="D309" s="7"/>
      <c r="E309" s="8">
        <f>IF(C309="","",IFERROR(VLOOKUP(C309,Insumos!$A:$I,9,FALSE),IFERROR(VLOOKUP(C309,Preparos!$A:$D,4,FALSE),"")))</f>
      </c>
      <c r="F309" s="8">
        <f>IF(C309="","",IFERROR(VLOOKUP(C309,Insumos!$A:$G,7,FALSE),100))</f>
      </c>
      <c r="G309" s="9">
        <f>IF(C309="","",IFERROR(VLOOKUP(C309,Insumos!$A:$J,10,FALSE),IFERROR(VLOOKUP(C309,Preparos!$A:$F,6,FALSE),0)))</f>
      </c>
      <c r="H309" s="10">
        <f>IF(OR(D309="",G309="",F309=0),"",D309*G309*(100/F309))</f>
      </c>
      <c r="I309" s="5"/>
    </row>
    <row r="310" spans="1:9" x14ac:dyDescent="0.25">
      <c r="A310" s="7"/>
      <c r="B310" s="8">
        <f>IF(C310="","",IF(ISNUMBER(MATCH(C310,Insumos!$A:$A,0)),"insumo",IF(ISNUMBER(MATCH(C310,Preparos!$A:$A,0)),"preparo","")))</f>
      </c>
      <c r="C310" s="7"/>
      <c r="D310" s="7"/>
      <c r="E310" s="8">
        <f>IF(C310="","",IFERROR(VLOOKUP(C310,Insumos!$A:$I,9,FALSE),IFERROR(VLOOKUP(C310,Preparos!$A:$D,4,FALSE),"")))</f>
      </c>
      <c r="F310" s="8">
        <f>IF(C310="","",IFERROR(VLOOKUP(C310,Insumos!$A:$G,7,FALSE),100))</f>
      </c>
      <c r="G310" s="9">
        <f>IF(C310="","",IFERROR(VLOOKUP(C310,Insumos!$A:$J,10,FALSE),IFERROR(VLOOKUP(C310,Preparos!$A:$F,6,FALSE),0)))</f>
      </c>
      <c r="H310" s="10">
        <f>IF(OR(D310="",G310="",F310=0),"",D310*G310*(100/F310))</f>
      </c>
      <c r="I310" s="5"/>
    </row>
    <row r="311" spans="1:9" x14ac:dyDescent="0.25">
      <c r="A311" s="7"/>
      <c r="B311" s="8">
        <f>IF(C311="","",IF(ISNUMBER(MATCH(C311,Insumos!$A:$A,0)),"insumo",IF(ISNUMBER(MATCH(C311,Preparos!$A:$A,0)),"preparo","")))</f>
      </c>
      <c r="C311" s="7"/>
      <c r="D311" s="7"/>
      <c r="E311" s="8">
        <f>IF(C311="","",IFERROR(VLOOKUP(C311,Insumos!$A:$I,9,FALSE),IFERROR(VLOOKUP(C311,Preparos!$A:$D,4,FALSE),"")))</f>
      </c>
      <c r="F311" s="8">
        <f>IF(C311="","",IFERROR(VLOOKUP(C311,Insumos!$A:$G,7,FALSE),100))</f>
      </c>
      <c r="G311" s="9">
        <f>IF(C311="","",IFERROR(VLOOKUP(C311,Insumos!$A:$J,10,FALSE),IFERROR(VLOOKUP(C311,Preparos!$A:$F,6,FALSE),0)))</f>
      </c>
      <c r="H311" s="10">
        <f>IF(OR(D311="",G311="",F311=0),"",D311*G311*(100/F311))</f>
      </c>
      <c r="I311" s="5"/>
    </row>
    <row r="312" spans="1:9" x14ac:dyDescent="0.25">
      <c r="A312" s="7"/>
      <c r="B312" s="8">
        <f>IF(C312="","",IF(ISNUMBER(MATCH(C312,Insumos!$A:$A,0)),"insumo",IF(ISNUMBER(MATCH(C312,Preparos!$A:$A,0)),"preparo","")))</f>
      </c>
      <c r="C312" s="7"/>
      <c r="D312" s="7"/>
      <c r="E312" s="8">
        <f>IF(C312="","",IFERROR(VLOOKUP(C312,Insumos!$A:$I,9,FALSE),IFERROR(VLOOKUP(C312,Preparos!$A:$D,4,FALSE),"")))</f>
      </c>
      <c r="F312" s="8">
        <f>IF(C312="","",IFERROR(VLOOKUP(C312,Insumos!$A:$G,7,FALSE),100))</f>
      </c>
      <c r="G312" s="9">
        <f>IF(C312="","",IFERROR(VLOOKUP(C312,Insumos!$A:$J,10,FALSE),IFERROR(VLOOKUP(C312,Preparos!$A:$F,6,FALSE),0)))</f>
      </c>
      <c r="H312" s="10">
        <f>IF(OR(D312="",G312="",F312=0),"",D312*G312*(100/F312))</f>
      </c>
      <c r="I312" s="5"/>
    </row>
    <row r="313" spans="1:9" x14ac:dyDescent="0.25">
      <c r="A313" s="7"/>
      <c r="B313" s="8">
        <f>IF(C313="","",IF(ISNUMBER(MATCH(C313,Insumos!$A:$A,0)),"insumo",IF(ISNUMBER(MATCH(C313,Preparos!$A:$A,0)),"preparo","")))</f>
      </c>
      <c r="C313" s="7"/>
      <c r="D313" s="7"/>
      <c r="E313" s="8">
        <f>IF(C313="","",IFERROR(VLOOKUP(C313,Insumos!$A:$I,9,FALSE),IFERROR(VLOOKUP(C313,Preparos!$A:$D,4,FALSE),"")))</f>
      </c>
      <c r="F313" s="8">
        <f>IF(C313="","",IFERROR(VLOOKUP(C313,Insumos!$A:$G,7,FALSE),100))</f>
      </c>
      <c r="G313" s="9">
        <f>IF(C313="","",IFERROR(VLOOKUP(C313,Insumos!$A:$J,10,FALSE),IFERROR(VLOOKUP(C313,Preparos!$A:$F,6,FALSE),0)))</f>
      </c>
      <c r="H313" s="10">
        <f>IF(OR(D313="",G313="",F313=0),"",D313*G313*(100/F313))</f>
      </c>
      <c r="I313" s="5"/>
    </row>
    <row r="314" spans="1:9" x14ac:dyDescent="0.25">
      <c r="A314" s="7"/>
      <c r="B314" s="8">
        <f>IF(C314="","",IF(ISNUMBER(MATCH(C314,Insumos!$A:$A,0)),"insumo",IF(ISNUMBER(MATCH(C314,Preparos!$A:$A,0)),"preparo","")))</f>
      </c>
      <c r="C314" s="7"/>
      <c r="D314" s="7"/>
      <c r="E314" s="8">
        <f>IF(C314="","",IFERROR(VLOOKUP(C314,Insumos!$A:$I,9,FALSE),IFERROR(VLOOKUP(C314,Preparos!$A:$D,4,FALSE),"")))</f>
      </c>
      <c r="F314" s="8">
        <f>IF(C314="","",IFERROR(VLOOKUP(C314,Insumos!$A:$G,7,FALSE),100))</f>
      </c>
      <c r="G314" s="9">
        <f>IF(C314="","",IFERROR(VLOOKUP(C314,Insumos!$A:$J,10,FALSE),IFERROR(VLOOKUP(C314,Preparos!$A:$F,6,FALSE),0)))</f>
      </c>
      <c r="H314" s="10">
        <f>IF(OR(D314="",G314="",F314=0),"",D314*G314*(100/F314))</f>
      </c>
      <c r="I314" s="5"/>
    </row>
    <row r="315" spans="1:9" x14ac:dyDescent="0.25">
      <c r="A315" s="7"/>
      <c r="B315" s="8">
        <f>IF(C315="","",IF(ISNUMBER(MATCH(C315,Insumos!$A:$A,0)),"insumo",IF(ISNUMBER(MATCH(C315,Preparos!$A:$A,0)),"preparo","")))</f>
      </c>
      <c r="C315" s="7"/>
      <c r="D315" s="7"/>
      <c r="E315" s="8">
        <f>IF(C315="","",IFERROR(VLOOKUP(C315,Insumos!$A:$I,9,FALSE),IFERROR(VLOOKUP(C315,Preparos!$A:$D,4,FALSE),"")))</f>
      </c>
      <c r="F315" s="8">
        <f>IF(C315="","",IFERROR(VLOOKUP(C315,Insumos!$A:$G,7,FALSE),100))</f>
      </c>
      <c r="G315" s="9">
        <f>IF(C315="","",IFERROR(VLOOKUP(C315,Insumos!$A:$J,10,FALSE),IFERROR(VLOOKUP(C315,Preparos!$A:$F,6,FALSE),0)))</f>
      </c>
      <c r="H315" s="10">
        <f>IF(OR(D315="",G315="",F315=0),"",D315*G315*(100/F315))</f>
      </c>
      <c r="I315" s="5"/>
    </row>
    <row r="316" spans="1:9" x14ac:dyDescent="0.25">
      <c r="A316" s="7"/>
      <c r="B316" s="8">
        <f>IF(C316="","",IF(ISNUMBER(MATCH(C316,Insumos!$A:$A,0)),"insumo",IF(ISNUMBER(MATCH(C316,Preparos!$A:$A,0)),"preparo","")))</f>
      </c>
      <c r="C316" s="7"/>
      <c r="D316" s="7"/>
      <c r="E316" s="8">
        <f>IF(C316="","",IFERROR(VLOOKUP(C316,Insumos!$A:$I,9,FALSE),IFERROR(VLOOKUP(C316,Preparos!$A:$D,4,FALSE),"")))</f>
      </c>
      <c r="F316" s="8">
        <f>IF(C316="","",IFERROR(VLOOKUP(C316,Insumos!$A:$G,7,FALSE),100))</f>
      </c>
      <c r="G316" s="9">
        <f>IF(C316="","",IFERROR(VLOOKUP(C316,Insumos!$A:$J,10,FALSE),IFERROR(VLOOKUP(C316,Preparos!$A:$F,6,FALSE),0)))</f>
      </c>
      <c r="H316" s="10">
        <f>IF(OR(D316="",G316="",F316=0),"",D316*G316*(100/F316))</f>
      </c>
      <c r="I316" s="5"/>
    </row>
    <row r="317" spans="1:9" x14ac:dyDescent="0.25">
      <c r="A317" s="7"/>
      <c r="B317" s="8">
        <f>IF(C317="","",IF(ISNUMBER(MATCH(C317,Insumos!$A:$A,0)),"insumo",IF(ISNUMBER(MATCH(C317,Preparos!$A:$A,0)),"preparo","")))</f>
      </c>
      <c r="C317" s="7"/>
      <c r="D317" s="7"/>
      <c r="E317" s="8">
        <f>IF(C317="","",IFERROR(VLOOKUP(C317,Insumos!$A:$I,9,FALSE),IFERROR(VLOOKUP(C317,Preparos!$A:$D,4,FALSE),"")))</f>
      </c>
      <c r="F317" s="8">
        <f>IF(C317="","",IFERROR(VLOOKUP(C317,Insumos!$A:$G,7,FALSE),100))</f>
      </c>
      <c r="G317" s="9">
        <f>IF(C317="","",IFERROR(VLOOKUP(C317,Insumos!$A:$J,10,FALSE),IFERROR(VLOOKUP(C317,Preparos!$A:$F,6,FALSE),0)))</f>
      </c>
      <c r="H317" s="10">
        <f>IF(OR(D317="",G317="",F317=0),"",D317*G317*(100/F317))</f>
      </c>
      <c r="I317" s="5"/>
    </row>
    <row r="318" spans="1:9" x14ac:dyDescent="0.25">
      <c r="A318" s="7"/>
      <c r="B318" s="8">
        <f>IF(C318="","",IF(ISNUMBER(MATCH(C318,Insumos!$A:$A,0)),"insumo",IF(ISNUMBER(MATCH(C318,Preparos!$A:$A,0)),"preparo","")))</f>
      </c>
      <c r="C318" s="7"/>
      <c r="D318" s="7"/>
      <c r="E318" s="8">
        <f>IF(C318="","",IFERROR(VLOOKUP(C318,Insumos!$A:$I,9,FALSE),IFERROR(VLOOKUP(C318,Preparos!$A:$D,4,FALSE),"")))</f>
      </c>
      <c r="F318" s="8">
        <f>IF(C318="","",IFERROR(VLOOKUP(C318,Insumos!$A:$G,7,FALSE),100))</f>
      </c>
      <c r="G318" s="9">
        <f>IF(C318="","",IFERROR(VLOOKUP(C318,Insumos!$A:$J,10,FALSE),IFERROR(VLOOKUP(C318,Preparos!$A:$F,6,FALSE),0)))</f>
      </c>
      <c r="H318" s="10">
        <f>IF(OR(D318="",G318="",F318=0),"",D318*G318*(100/F318))</f>
      </c>
      <c r="I318" s="5"/>
    </row>
    <row r="319" spans="1:9" x14ac:dyDescent="0.25">
      <c r="A319" s="7"/>
      <c r="B319" s="8">
        <f>IF(C319="","",IF(ISNUMBER(MATCH(C319,Insumos!$A:$A,0)),"insumo",IF(ISNUMBER(MATCH(C319,Preparos!$A:$A,0)),"preparo","")))</f>
      </c>
      <c r="C319" s="7"/>
      <c r="D319" s="7"/>
      <c r="E319" s="8">
        <f>IF(C319="","",IFERROR(VLOOKUP(C319,Insumos!$A:$I,9,FALSE),IFERROR(VLOOKUP(C319,Preparos!$A:$D,4,FALSE),"")))</f>
      </c>
      <c r="F319" s="8">
        <f>IF(C319="","",IFERROR(VLOOKUP(C319,Insumos!$A:$G,7,FALSE),100))</f>
      </c>
      <c r="G319" s="9">
        <f>IF(C319="","",IFERROR(VLOOKUP(C319,Insumos!$A:$J,10,FALSE),IFERROR(VLOOKUP(C319,Preparos!$A:$F,6,FALSE),0)))</f>
      </c>
      <c r="H319" s="10">
        <f>IF(OR(D319="",G319="",F319=0),"",D319*G319*(100/F319))</f>
      </c>
      <c r="I319" s="5"/>
    </row>
    <row r="320" spans="1:9" x14ac:dyDescent="0.25">
      <c r="A320" s="7"/>
      <c r="B320" s="8">
        <f>IF(C320="","",IF(ISNUMBER(MATCH(C320,Insumos!$A:$A,0)),"insumo",IF(ISNUMBER(MATCH(C320,Preparos!$A:$A,0)),"preparo","")))</f>
      </c>
      <c r="C320" s="7"/>
      <c r="D320" s="7"/>
      <c r="E320" s="8">
        <f>IF(C320="","",IFERROR(VLOOKUP(C320,Insumos!$A:$I,9,FALSE),IFERROR(VLOOKUP(C320,Preparos!$A:$D,4,FALSE),"")))</f>
      </c>
      <c r="F320" s="8">
        <f>IF(C320="","",IFERROR(VLOOKUP(C320,Insumos!$A:$G,7,FALSE),100))</f>
      </c>
      <c r="G320" s="9">
        <f>IF(C320="","",IFERROR(VLOOKUP(C320,Insumos!$A:$J,10,FALSE),IFERROR(VLOOKUP(C320,Preparos!$A:$F,6,FALSE),0)))</f>
      </c>
      <c r="H320" s="10">
        <f>IF(OR(D320="",G320="",F320=0),"",D320*G320*(100/F320))</f>
      </c>
      <c r="I320" s="5"/>
    </row>
    <row r="321" spans="1:9" x14ac:dyDescent="0.25">
      <c r="A321" s="7"/>
      <c r="B321" s="8">
        <f>IF(C321="","",IF(ISNUMBER(MATCH(C321,Insumos!$A:$A,0)),"insumo",IF(ISNUMBER(MATCH(C321,Preparos!$A:$A,0)),"preparo","")))</f>
      </c>
      <c r="C321" s="7"/>
      <c r="D321" s="7"/>
      <c r="E321" s="8">
        <f>IF(C321="","",IFERROR(VLOOKUP(C321,Insumos!$A:$I,9,FALSE),IFERROR(VLOOKUP(C321,Preparos!$A:$D,4,FALSE),"")))</f>
      </c>
      <c r="F321" s="8">
        <f>IF(C321="","",IFERROR(VLOOKUP(C321,Insumos!$A:$G,7,FALSE),100))</f>
      </c>
      <c r="G321" s="9">
        <f>IF(C321="","",IFERROR(VLOOKUP(C321,Insumos!$A:$J,10,FALSE),IFERROR(VLOOKUP(C321,Preparos!$A:$F,6,FALSE),0)))</f>
      </c>
      <c r="H321" s="10">
        <f>IF(OR(D321="",G321="",F321=0),"",D321*G321*(100/F321))</f>
      </c>
      <c r="I321" s="5"/>
    </row>
    <row r="322" spans="1:9" x14ac:dyDescent="0.25">
      <c r="A322" s="7"/>
      <c r="B322" s="8">
        <f>IF(C322="","",IF(ISNUMBER(MATCH(C322,Insumos!$A:$A,0)),"insumo",IF(ISNUMBER(MATCH(C322,Preparos!$A:$A,0)),"preparo","")))</f>
      </c>
      <c r="C322" s="7"/>
      <c r="D322" s="7"/>
      <c r="E322" s="8">
        <f>IF(C322="","",IFERROR(VLOOKUP(C322,Insumos!$A:$I,9,FALSE),IFERROR(VLOOKUP(C322,Preparos!$A:$D,4,FALSE),"")))</f>
      </c>
      <c r="F322" s="8">
        <f>IF(C322="","",IFERROR(VLOOKUP(C322,Insumos!$A:$G,7,FALSE),100))</f>
      </c>
      <c r="G322" s="9">
        <f>IF(C322="","",IFERROR(VLOOKUP(C322,Insumos!$A:$J,10,FALSE),IFERROR(VLOOKUP(C322,Preparos!$A:$F,6,FALSE),0)))</f>
      </c>
      <c r="H322" s="10">
        <f>IF(OR(D322="",G322="",F322=0),"",D322*G322*(100/F322))</f>
      </c>
      <c r="I322" s="5"/>
    </row>
    <row r="323" spans="1:9" x14ac:dyDescent="0.25">
      <c r="A323" s="7"/>
      <c r="B323" s="8">
        <f>IF(C323="","",IF(ISNUMBER(MATCH(C323,Insumos!$A:$A,0)),"insumo",IF(ISNUMBER(MATCH(C323,Preparos!$A:$A,0)),"preparo","")))</f>
      </c>
      <c r="C323" s="7"/>
      <c r="D323" s="7"/>
      <c r="E323" s="8">
        <f>IF(C323="","",IFERROR(VLOOKUP(C323,Insumos!$A:$I,9,FALSE),IFERROR(VLOOKUP(C323,Preparos!$A:$D,4,FALSE),"")))</f>
      </c>
      <c r="F323" s="8">
        <f>IF(C323="","",IFERROR(VLOOKUP(C323,Insumos!$A:$G,7,FALSE),100))</f>
      </c>
      <c r="G323" s="9">
        <f>IF(C323="","",IFERROR(VLOOKUP(C323,Insumos!$A:$J,10,FALSE),IFERROR(VLOOKUP(C323,Preparos!$A:$F,6,FALSE),0)))</f>
      </c>
      <c r="H323" s="10">
        <f>IF(OR(D323="",G323="",F323=0),"",D323*G323*(100/F323))</f>
      </c>
      <c r="I323" s="5"/>
    </row>
    <row r="324" spans="1:9" x14ac:dyDescent="0.25">
      <c r="A324" s="7"/>
      <c r="B324" s="8">
        <f>IF(C324="","",IF(ISNUMBER(MATCH(C324,Insumos!$A:$A,0)),"insumo",IF(ISNUMBER(MATCH(C324,Preparos!$A:$A,0)),"preparo","")))</f>
      </c>
      <c r="C324" s="7"/>
      <c r="D324" s="7"/>
      <c r="E324" s="8">
        <f>IF(C324="","",IFERROR(VLOOKUP(C324,Insumos!$A:$I,9,FALSE),IFERROR(VLOOKUP(C324,Preparos!$A:$D,4,FALSE),"")))</f>
      </c>
      <c r="F324" s="8">
        <f>IF(C324="","",IFERROR(VLOOKUP(C324,Insumos!$A:$G,7,FALSE),100))</f>
      </c>
      <c r="G324" s="9">
        <f>IF(C324="","",IFERROR(VLOOKUP(C324,Insumos!$A:$J,10,FALSE),IFERROR(VLOOKUP(C324,Preparos!$A:$F,6,FALSE),0)))</f>
      </c>
      <c r="H324" s="10">
        <f>IF(OR(D324="",G324="",F324=0),"",D324*G324*(100/F324))</f>
      </c>
      <c r="I324" s="5"/>
    </row>
    <row r="325" spans="1:9" x14ac:dyDescent="0.25">
      <c r="A325" s="7"/>
      <c r="B325" s="8">
        <f>IF(C325="","",IF(ISNUMBER(MATCH(C325,Insumos!$A:$A,0)),"insumo",IF(ISNUMBER(MATCH(C325,Preparos!$A:$A,0)),"preparo","")))</f>
      </c>
      <c r="C325" s="7"/>
      <c r="D325" s="7"/>
      <c r="E325" s="8">
        <f>IF(C325="","",IFERROR(VLOOKUP(C325,Insumos!$A:$I,9,FALSE),IFERROR(VLOOKUP(C325,Preparos!$A:$D,4,FALSE),"")))</f>
      </c>
      <c r="F325" s="8">
        <f>IF(C325="","",IFERROR(VLOOKUP(C325,Insumos!$A:$G,7,FALSE),100))</f>
      </c>
      <c r="G325" s="9">
        <f>IF(C325="","",IFERROR(VLOOKUP(C325,Insumos!$A:$J,10,FALSE),IFERROR(VLOOKUP(C325,Preparos!$A:$F,6,FALSE),0)))</f>
      </c>
      <c r="H325" s="10">
        <f>IF(OR(D325="",G325="",F325=0),"",D325*G325*(100/F325))</f>
      </c>
      <c r="I325" s="5"/>
    </row>
    <row r="326" spans="1:9" x14ac:dyDescent="0.25">
      <c r="A326" s="7"/>
      <c r="B326" s="8">
        <f>IF(C326="","",IF(ISNUMBER(MATCH(C326,Insumos!$A:$A,0)),"insumo",IF(ISNUMBER(MATCH(C326,Preparos!$A:$A,0)),"preparo","")))</f>
      </c>
      <c r="C326" s="7"/>
      <c r="D326" s="7"/>
      <c r="E326" s="8">
        <f>IF(C326="","",IFERROR(VLOOKUP(C326,Insumos!$A:$I,9,FALSE),IFERROR(VLOOKUP(C326,Preparos!$A:$D,4,FALSE),"")))</f>
      </c>
      <c r="F326" s="8">
        <f>IF(C326="","",IFERROR(VLOOKUP(C326,Insumos!$A:$G,7,FALSE),100))</f>
      </c>
      <c r="G326" s="9">
        <f>IF(C326="","",IFERROR(VLOOKUP(C326,Insumos!$A:$J,10,FALSE),IFERROR(VLOOKUP(C326,Preparos!$A:$F,6,FALSE),0)))</f>
      </c>
      <c r="H326" s="10">
        <f>IF(OR(D326="",G326="",F326=0),"",D326*G326*(100/F326))</f>
      </c>
      <c r="I326" s="5"/>
    </row>
    <row r="327" spans="1:9" x14ac:dyDescent="0.25">
      <c r="A327" s="7"/>
      <c r="B327" s="8">
        <f>IF(C327="","",IF(ISNUMBER(MATCH(C327,Insumos!$A:$A,0)),"insumo",IF(ISNUMBER(MATCH(C327,Preparos!$A:$A,0)),"preparo","")))</f>
      </c>
      <c r="C327" s="7"/>
      <c r="D327" s="7"/>
      <c r="E327" s="8">
        <f>IF(C327="","",IFERROR(VLOOKUP(C327,Insumos!$A:$I,9,FALSE),IFERROR(VLOOKUP(C327,Preparos!$A:$D,4,FALSE),"")))</f>
      </c>
      <c r="F327" s="8">
        <f>IF(C327="","",IFERROR(VLOOKUP(C327,Insumos!$A:$G,7,FALSE),100))</f>
      </c>
      <c r="G327" s="9">
        <f>IF(C327="","",IFERROR(VLOOKUP(C327,Insumos!$A:$J,10,FALSE),IFERROR(VLOOKUP(C327,Preparos!$A:$F,6,FALSE),0)))</f>
      </c>
      <c r="H327" s="10">
        <f>IF(OR(D327="",G327="",F327=0),"",D327*G327*(100/F327))</f>
      </c>
      <c r="I327" s="5"/>
    </row>
    <row r="328" spans="1:9" x14ac:dyDescent="0.25">
      <c r="A328" s="7"/>
      <c r="B328" s="8">
        <f>IF(C328="","",IF(ISNUMBER(MATCH(C328,Insumos!$A:$A,0)),"insumo",IF(ISNUMBER(MATCH(C328,Preparos!$A:$A,0)),"preparo","")))</f>
      </c>
      <c r="C328" s="7"/>
      <c r="D328" s="7"/>
      <c r="E328" s="8">
        <f>IF(C328="","",IFERROR(VLOOKUP(C328,Insumos!$A:$I,9,FALSE),IFERROR(VLOOKUP(C328,Preparos!$A:$D,4,FALSE),"")))</f>
      </c>
      <c r="F328" s="8">
        <f>IF(C328="","",IFERROR(VLOOKUP(C328,Insumos!$A:$G,7,FALSE),100))</f>
      </c>
      <c r="G328" s="9">
        <f>IF(C328="","",IFERROR(VLOOKUP(C328,Insumos!$A:$J,10,FALSE),IFERROR(VLOOKUP(C328,Preparos!$A:$F,6,FALSE),0)))</f>
      </c>
      <c r="H328" s="10">
        <f>IF(OR(D328="",G328="",F328=0),"",D328*G328*(100/F328))</f>
      </c>
      <c r="I328" s="5"/>
    </row>
    <row r="329" spans="1:9" x14ac:dyDescent="0.25">
      <c r="A329" s="7"/>
      <c r="B329" s="8">
        <f>IF(C329="","",IF(ISNUMBER(MATCH(C329,Insumos!$A:$A,0)),"insumo",IF(ISNUMBER(MATCH(C329,Preparos!$A:$A,0)),"preparo","")))</f>
      </c>
      <c r="C329" s="7"/>
      <c r="D329" s="7"/>
      <c r="E329" s="8">
        <f>IF(C329="","",IFERROR(VLOOKUP(C329,Insumos!$A:$I,9,FALSE),IFERROR(VLOOKUP(C329,Preparos!$A:$D,4,FALSE),"")))</f>
      </c>
      <c r="F329" s="8">
        <f>IF(C329="","",IFERROR(VLOOKUP(C329,Insumos!$A:$G,7,FALSE),100))</f>
      </c>
      <c r="G329" s="9">
        <f>IF(C329="","",IFERROR(VLOOKUP(C329,Insumos!$A:$J,10,FALSE),IFERROR(VLOOKUP(C329,Preparos!$A:$F,6,FALSE),0)))</f>
      </c>
      <c r="H329" s="10">
        <f>IF(OR(D329="",G329="",F329=0),"",D329*G329*(100/F329))</f>
      </c>
      <c r="I329" s="5"/>
    </row>
    <row r="330" spans="1:9" x14ac:dyDescent="0.25">
      <c r="A330" s="7"/>
      <c r="B330" s="8">
        <f>IF(C330="","",IF(ISNUMBER(MATCH(C330,Insumos!$A:$A,0)),"insumo",IF(ISNUMBER(MATCH(C330,Preparos!$A:$A,0)),"preparo","")))</f>
      </c>
      <c r="C330" s="7"/>
      <c r="D330" s="7"/>
      <c r="E330" s="8">
        <f>IF(C330="","",IFERROR(VLOOKUP(C330,Insumos!$A:$I,9,FALSE),IFERROR(VLOOKUP(C330,Preparos!$A:$D,4,FALSE),"")))</f>
      </c>
      <c r="F330" s="8">
        <f>IF(C330="","",IFERROR(VLOOKUP(C330,Insumos!$A:$G,7,FALSE),100))</f>
      </c>
      <c r="G330" s="9">
        <f>IF(C330="","",IFERROR(VLOOKUP(C330,Insumos!$A:$J,10,FALSE),IFERROR(VLOOKUP(C330,Preparos!$A:$F,6,FALSE),0)))</f>
      </c>
      <c r="H330" s="10">
        <f>IF(OR(D330="",G330="",F330=0),"",D330*G330*(100/F330))</f>
      </c>
      <c r="I330" s="5"/>
    </row>
    <row r="331" spans="1:9" x14ac:dyDescent="0.25">
      <c r="A331" s="7"/>
      <c r="B331" s="8">
        <f>IF(C331="","",IF(ISNUMBER(MATCH(C331,Insumos!$A:$A,0)),"insumo",IF(ISNUMBER(MATCH(C331,Preparos!$A:$A,0)),"preparo","")))</f>
      </c>
      <c r="C331" s="7"/>
      <c r="D331" s="7"/>
      <c r="E331" s="8">
        <f>IF(C331="","",IFERROR(VLOOKUP(C331,Insumos!$A:$I,9,FALSE),IFERROR(VLOOKUP(C331,Preparos!$A:$D,4,FALSE),"")))</f>
      </c>
      <c r="F331" s="8">
        <f>IF(C331="","",IFERROR(VLOOKUP(C331,Insumos!$A:$G,7,FALSE),100))</f>
      </c>
      <c r="G331" s="9">
        <f>IF(C331="","",IFERROR(VLOOKUP(C331,Insumos!$A:$J,10,FALSE),IFERROR(VLOOKUP(C331,Preparos!$A:$F,6,FALSE),0)))</f>
      </c>
      <c r="H331" s="10">
        <f>IF(OR(D331="",G331="",F331=0),"",D331*G331*(100/F331))</f>
      </c>
      <c r="I331" s="5"/>
    </row>
    <row r="332" spans="1:9" x14ac:dyDescent="0.25">
      <c r="A332" s="7"/>
      <c r="B332" s="8">
        <f>IF(C332="","",IF(ISNUMBER(MATCH(C332,Insumos!$A:$A,0)),"insumo",IF(ISNUMBER(MATCH(C332,Preparos!$A:$A,0)),"preparo","")))</f>
      </c>
      <c r="C332" s="7"/>
      <c r="D332" s="7"/>
      <c r="E332" s="8">
        <f>IF(C332="","",IFERROR(VLOOKUP(C332,Insumos!$A:$I,9,FALSE),IFERROR(VLOOKUP(C332,Preparos!$A:$D,4,FALSE),"")))</f>
      </c>
      <c r="F332" s="8">
        <f>IF(C332="","",IFERROR(VLOOKUP(C332,Insumos!$A:$G,7,FALSE),100))</f>
      </c>
      <c r="G332" s="9">
        <f>IF(C332="","",IFERROR(VLOOKUP(C332,Insumos!$A:$J,10,FALSE),IFERROR(VLOOKUP(C332,Preparos!$A:$F,6,FALSE),0)))</f>
      </c>
      <c r="H332" s="10">
        <f>IF(OR(D332="",G332="",F332=0),"",D332*G332*(100/F332))</f>
      </c>
      <c r="I332" s="5"/>
    </row>
    <row r="333" spans="1:9" x14ac:dyDescent="0.25">
      <c r="A333" s="7"/>
      <c r="B333" s="8">
        <f>IF(C333="","",IF(ISNUMBER(MATCH(C333,Insumos!$A:$A,0)),"insumo",IF(ISNUMBER(MATCH(C333,Preparos!$A:$A,0)),"preparo","")))</f>
      </c>
      <c r="C333" s="7"/>
      <c r="D333" s="7"/>
      <c r="E333" s="8">
        <f>IF(C333="","",IFERROR(VLOOKUP(C333,Insumos!$A:$I,9,FALSE),IFERROR(VLOOKUP(C333,Preparos!$A:$D,4,FALSE),"")))</f>
      </c>
      <c r="F333" s="8">
        <f>IF(C333="","",IFERROR(VLOOKUP(C333,Insumos!$A:$G,7,FALSE),100))</f>
      </c>
      <c r="G333" s="9">
        <f>IF(C333="","",IFERROR(VLOOKUP(C333,Insumos!$A:$J,10,FALSE),IFERROR(VLOOKUP(C333,Preparos!$A:$F,6,FALSE),0)))</f>
      </c>
      <c r="H333" s="10">
        <f>IF(OR(D333="",G333="",F333=0),"",D333*G333*(100/F333))</f>
      </c>
      <c r="I333" s="5"/>
    </row>
    <row r="334" spans="1:9" x14ac:dyDescent="0.25">
      <c r="A334" s="7"/>
      <c r="B334" s="8">
        <f>IF(C334="","",IF(ISNUMBER(MATCH(C334,Insumos!$A:$A,0)),"insumo",IF(ISNUMBER(MATCH(C334,Preparos!$A:$A,0)),"preparo","")))</f>
      </c>
      <c r="C334" s="7"/>
      <c r="D334" s="7"/>
      <c r="E334" s="8">
        <f>IF(C334="","",IFERROR(VLOOKUP(C334,Insumos!$A:$I,9,FALSE),IFERROR(VLOOKUP(C334,Preparos!$A:$D,4,FALSE),"")))</f>
      </c>
      <c r="F334" s="8">
        <f>IF(C334="","",IFERROR(VLOOKUP(C334,Insumos!$A:$G,7,FALSE),100))</f>
      </c>
      <c r="G334" s="9">
        <f>IF(C334="","",IFERROR(VLOOKUP(C334,Insumos!$A:$J,10,FALSE),IFERROR(VLOOKUP(C334,Preparos!$A:$F,6,FALSE),0)))</f>
      </c>
      <c r="H334" s="10">
        <f>IF(OR(D334="",G334="",F334=0),"",D334*G334*(100/F334))</f>
      </c>
      <c r="I334" s="5"/>
    </row>
    <row r="335" spans="1:9" x14ac:dyDescent="0.25">
      <c r="A335" s="7"/>
      <c r="B335" s="8">
        <f>IF(C335="","",IF(ISNUMBER(MATCH(C335,Insumos!$A:$A,0)),"insumo",IF(ISNUMBER(MATCH(C335,Preparos!$A:$A,0)),"preparo","")))</f>
      </c>
      <c r="C335" s="7"/>
      <c r="D335" s="7"/>
      <c r="E335" s="8">
        <f>IF(C335="","",IFERROR(VLOOKUP(C335,Insumos!$A:$I,9,FALSE),IFERROR(VLOOKUP(C335,Preparos!$A:$D,4,FALSE),"")))</f>
      </c>
      <c r="F335" s="8">
        <f>IF(C335="","",IFERROR(VLOOKUP(C335,Insumos!$A:$G,7,FALSE),100))</f>
      </c>
      <c r="G335" s="9">
        <f>IF(C335="","",IFERROR(VLOOKUP(C335,Insumos!$A:$J,10,FALSE),IFERROR(VLOOKUP(C335,Preparos!$A:$F,6,FALSE),0)))</f>
      </c>
      <c r="H335" s="10">
        <f>IF(OR(D335="",G335="",F335=0),"",D335*G335*(100/F335))</f>
      </c>
      <c r="I335" s="5"/>
    </row>
    <row r="336" spans="1:9" x14ac:dyDescent="0.25">
      <c r="A336" s="7"/>
      <c r="B336" s="8">
        <f>IF(C336="","",IF(ISNUMBER(MATCH(C336,Insumos!$A:$A,0)),"insumo",IF(ISNUMBER(MATCH(C336,Preparos!$A:$A,0)),"preparo","")))</f>
      </c>
      <c r="C336" s="7"/>
      <c r="D336" s="7"/>
      <c r="E336" s="8">
        <f>IF(C336="","",IFERROR(VLOOKUP(C336,Insumos!$A:$I,9,FALSE),IFERROR(VLOOKUP(C336,Preparos!$A:$D,4,FALSE),"")))</f>
      </c>
      <c r="F336" s="8">
        <f>IF(C336="","",IFERROR(VLOOKUP(C336,Insumos!$A:$G,7,FALSE),100))</f>
      </c>
      <c r="G336" s="9">
        <f>IF(C336="","",IFERROR(VLOOKUP(C336,Insumos!$A:$J,10,FALSE),IFERROR(VLOOKUP(C336,Preparos!$A:$F,6,FALSE),0)))</f>
      </c>
      <c r="H336" s="10">
        <f>IF(OR(D336="",G336="",F336=0),"",D336*G336*(100/F336))</f>
      </c>
      <c r="I336" s="5"/>
    </row>
    <row r="337" spans="1:9" x14ac:dyDescent="0.25">
      <c r="A337" s="7"/>
      <c r="B337" s="8">
        <f>IF(C337="","",IF(ISNUMBER(MATCH(C337,Insumos!$A:$A,0)),"insumo",IF(ISNUMBER(MATCH(C337,Preparos!$A:$A,0)),"preparo","")))</f>
      </c>
      <c r="C337" s="7"/>
      <c r="D337" s="7"/>
      <c r="E337" s="8">
        <f>IF(C337="","",IFERROR(VLOOKUP(C337,Insumos!$A:$I,9,FALSE),IFERROR(VLOOKUP(C337,Preparos!$A:$D,4,FALSE),"")))</f>
      </c>
      <c r="F337" s="8">
        <f>IF(C337="","",IFERROR(VLOOKUP(C337,Insumos!$A:$G,7,FALSE),100))</f>
      </c>
      <c r="G337" s="9">
        <f>IF(C337="","",IFERROR(VLOOKUP(C337,Insumos!$A:$J,10,FALSE),IFERROR(VLOOKUP(C337,Preparos!$A:$F,6,FALSE),0)))</f>
      </c>
      <c r="H337" s="10">
        <f>IF(OR(D337="",G337="",F337=0),"",D337*G337*(100/F337))</f>
      </c>
      <c r="I337" s="5"/>
    </row>
    <row r="338" spans="1:9" x14ac:dyDescent="0.25">
      <c r="A338" s="7"/>
      <c r="B338" s="8">
        <f>IF(C338="","",IF(ISNUMBER(MATCH(C338,Insumos!$A:$A,0)),"insumo",IF(ISNUMBER(MATCH(C338,Preparos!$A:$A,0)),"preparo","")))</f>
      </c>
      <c r="C338" s="7"/>
      <c r="D338" s="7"/>
      <c r="E338" s="8">
        <f>IF(C338="","",IFERROR(VLOOKUP(C338,Insumos!$A:$I,9,FALSE),IFERROR(VLOOKUP(C338,Preparos!$A:$D,4,FALSE),"")))</f>
      </c>
      <c r="F338" s="8">
        <f>IF(C338="","",IFERROR(VLOOKUP(C338,Insumos!$A:$G,7,FALSE),100))</f>
      </c>
      <c r="G338" s="9">
        <f>IF(C338="","",IFERROR(VLOOKUP(C338,Insumos!$A:$J,10,FALSE),IFERROR(VLOOKUP(C338,Preparos!$A:$F,6,FALSE),0)))</f>
      </c>
      <c r="H338" s="10">
        <f>IF(OR(D338="",G338="",F338=0),"",D338*G338*(100/F338))</f>
      </c>
      <c r="I338" s="5"/>
    </row>
    <row r="339" spans="1:9" x14ac:dyDescent="0.25">
      <c r="A339" s="7"/>
      <c r="B339" s="8">
        <f>IF(C339="","",IF(ISNUMBER(MATCH(C339,Insumos!$A:$A,0)),"insumo",IF(ISNUMBER(MATCH(C339,Preparos!$A:$A,0)),"preparo","")))</f>
      </c>
      <c r="C339" s="7"/>
      <c r="D339" s="7"/>
      <c r="E339" s="8">
        <f>IF(C339="","",IFERROR(VLOOKUP(C339,Insumos!$A:$I,9,FALSE),IFERROR(VLOOKUP(C339,Preparos!$A:$D,4,FALSE),"")))</f>
      </c>
      <c r="F339" s="8">
        <f>IF(C339="","",IFERROR(VLOOKUP(C339,Insumos!$A:$G,7,FALSE),100))</f>
      </c>
      <c r="G339" s="9">
        <f>IF(C339="","",IFERROR(VLOOKUP(C339,Insumos!$A:$J,10,FALSE),IFERROR(VLOOKUP(C339,Preparos!$A:$F,6,FALSE),0)))</f>
      </c>
      <c r="H339" s="10">
        <f>IF(OR(D339="",G339="",F339=0),"",D339*G339*(100/F339))</f>
      </c>
      <c r="I339" s="5"/>
    </row>
    <row r="340" spans="1:9" x14ac:dyDescent="0.25">
      <c r="A340" s="7"/>
      <c r="B340" s="8">
        <f>IF(C340="","",IF(ISNUMBER(MATCH(C340,Insumos!$A:$A,0)),"insumo",IF(ISNUMBER(MATCH(C340,Preparos!$A:$A,0)),"preparo","")))</f>
      </c>
      <c r="C340" s="7"/>
      <c r="D340" s="7"/>
      <c r="E340" s="8">
        <f>IF(C340="","",IFERROR(VLOOKUP(C340,Insumos!$A:$I,9,FALSE),IFERROR(VLOOKUP(C340,Preparos!$A:$D,4,FALSE),"")))</f>
      </c>
      <c r="F340" s="8">
        <f>IF(C340="","",IFERROR(VLOOKUP(C340,Insumos!$A:$G,7,FALSE),100))</f>
      </c>
      <c r="G340" s="9">
        <f>IF(C340="","",IFERROR(VLOOKUP(C340,Insumos!$A:$J,10,FALSE),IFERROR(VLOOKUP(C340,Preparos!$A:$F,6,FALSE),0)))</f>
      </c>
      <c r="H340" s="10">
        <f>IF(OR(D340="",G340="",F340=0),"",D340*G340*(100/F340))</f>
      </c>
      <c r="I340" s="5"/>
    </row>
    <row r="341" spans="1:9" x14ac:dyDescent="0.25">
      <c r="A341" s="7"/>
      <c r="B341" s="8">
        <f>IF(C341="","",IF(ISNUMBER(MATCH(C341,Insumos!$A:$A,0)),"insumo",IF(ISNUMBER(MATCH(C341,Preparos!$A:$A,0)),"preparo","")))</f>
      </c>
      <c r="C341" s="7"/>
      <c r="D341" s="7"/>
      <c r="E341" s="8">
        <f>IF(C341="","",IFERROR(VLOOKUP(C341,Insumos!$A:$I,9,FALSE),IFERROR(VLOOKUP(C341,Preparos!$A:$D,4,FALSE),"")))</f>
      </c>
      <c r="F341" s="8">
        <f>IF(C341="","",IFERROR(VLOOKUP(C341,Insumos!$A:$G,7,FALSE),100))</f>
      </c>
      <c r="G341" s="9">
        <f>IF(C341="","",IFERROR(VLOOKUP(C341,Insumos!$A:$J,10,FALSE),IFERROR(VLOOKUP(C341,Preparos!$A:$F,6,FALSE),0)))</f>
      </c>
      <c r="H341" s="10">
        <f>IF(OR(D341="",G341="",F341=0),"",D341*G341*(100/F341))</f>
      </c>
      <c r="I341" s="5"/>
    </row>
    <row r="342" spans="1:9" x14ac:dyDescent="0.25">
      <c r="A342" s="7"/>
      <c r="B342" s="8">
        <f>IF(C342="","",IF(ISNUMBER(MATCH(C342,Insumos!$A:$A,0)),"insumo",IF(ISNUMBER(MATCH(C342,Preparos!$A:$A,0)),"preparo","")))</f>
      </c>
      <c r="C342" s="7"/>
      <c r="D342" s="7"/>
      <c r="E342" s="8">
        <f>IF(C342="","",IFERROR(VLOOKUP(C342,Insumos!$A:$I,9,FALSE),IFERROR(VLOOKUP(C342,Preparos!$A:$D,4,FALSE),"")))</f>
      </c>
      <c r="F342" s="8">
        <f>IF(C342="","",IFERROR(VLOOKUP(C342,Insumos!$A:$G,7,FALSE),100))</f>
      </c>
      <c r="G342" s="9">
        <f>IF(C342="","",IFERROR(VLOOKUP(C342,Insumos!$A:$J,10,FALSE),IFERROR(VLOOKUP(C342,Preparos!$A:$F,6,FALSE),0)))</f>
      </c>
      <c r="H342" s="10">
        <f>IF(OR(D342="",G342="",F342=0),"",D342*G342*(100/F342))</f>
      </c>
      <c r="I342" s="5"/>
    </row>
    <row r="343" spans="1:9" x14ac:dyDescent="0.25">
      <c r="A343" s="7"/>
      <c r="B343" s="8">
        <f>IF(C343="","",IF(ISNUMBER(MATCH(C343,Insumos!$A:$A,0)),"insumo",IF(ISNUMBER(MATCH(C343,Preparos!$A:$A,0)),"preparo","")))</f>
      </c>
      <c r="C343" s="7"/>
      <c r="D343" s="7"/>
      <c r="E343" s="8">
        <f>IF(C343="","",IFERROR(VLOOKUP(C343,Insumos!$A:$I,9,FALSE),IFERROR(VLOOKUP(C343,Preparos!$A:$D,4,FALSE),"")))</f>
      </c>
      <c r="F343" s="8">
        <f>IF(C343="","",IFERROR(VLOOKUP(C343,Insumos!$A:$G,7,FALSE),100))</f>
      </c>
      <c r="G343" s="9">
        <f>IF(C343="","",IFERROR(VLOOKUP(C343,Insumos!$A:$J,10,FALSE),IFERROR(VLOOKUP(C343,Preparos!$A:$F,6,FALSE),0)))</f>
      </c>
      <c r="H343" s="10">
        <f>IF(OR(D343="",G343="",F343=0),"",D343*G343*(100/F343))</f>
      </c>
      <c r="I343" s="5"/>
    </row>
    <row r="344" spans="1:9" x14ac:dyDescent="0.25">
      <c r="A344" s="7"/>
      <c r="B344" s="8">
        <f>IF(C344="","",IF(ISNUMBER(MATCH(C344,Insumos!$A:$A,0)),"insumo",IF(ISNUMBER(MATCH(C344,Preparos!$A:$A,0)),"preparo","")))</f>
      </c>
      <c r="C344" s="7"/>
      <c r="D344" s="7"/>
      <c r="E344" s="8">
        <f>IF(C344="","",IFERROR(VLOOKUP(C344,Insumos!$A:$I,9,FALSE),IFERROR(VLOOKUP(C344,Preparos!$A:$D,4,FALSE),"")))</f>
      </c>
      <c r="F344" s="8">
        <f>IF(C344="","",IFERROR(VLOOKUP(C344,Insumos!$A:$G,7,FALSE),100))</f>
      </c>
      <c r="G344" s="9">
        <f>IF(C344="","",IFERROR(VLOOKUP(C344,Insumos!$A:$J,10,FALSE),IFERROR(VLOOKUP(C344,Preparos!$A:$F,6,FALSE),0)))</f>
      </c>
      <c r="H344" s="10">
        <f>IF(OR(D344="",G344="",F344=0),"",D344*G344*(100/F344))</f>
      </c>
      <c r="I344" s="5"/>
    </row>
    <row r="345" spans="1:9" x14ac:dyDescent="0.25">
      <c r="A345" s="7"/>
      <c r="B345" s="8">
        <f>IF(C345="","",IF(ISNUMBER(MATCH(C345,Insumos!$A:$A,0)),"insumo",IF(ISNUMBER(MATCH(C345,Preparos!$A:$A,0)),"preparo","")))</f>
      </c>
      <c r="C345" s="7"/>
      <c r="D345" s="7"/>
      <c r="E345" s="8">
        <f>IF(C345="","",IFERROR(VLOOKUP(C345,Insumos!$A:$I,9,FALSE),IFERROR(VLOOKUP(C345,Preparos!$A:$D,4,FALSE),"")))</f>
      </c>
      <c r="F345" s="8">
        <f>IF(C345="","",IFERROR(VLOOKUP(C345,Insumos!$A:$G,7,FALSE),100))</f>
      </c>
      <c r="G345" s="9">
        <f>IF(C345="","",IFERROR(VLOOKUP(C345,Insumos!$A:$J,10,FALSE),IFERROR(VLOOKUP(C345,Preparos!$A:$F,6,FALSE),0)))</f>
      </c>
      <c r="H345" s="10">
        <f>IF(OR(D345="",G345="",F345=0),"",D345*G345*(100/F345))</f>
      </c>
      <c r="I345" s="5"/>
    </row>
    <row r="346" spans="1:9" x14ac:dyDescent="0.25">
      <c r="A346" s="7"/>
      <c r="B346" s="8">
        <f>IF(C346="","",IF(ISNUMBER(MATCH(C346,Insumos!$A:$A,0)),"insumo",IF(ISNUMBER(MATCH(C346,Preparos!$A:$A,0)),"preparo","")))</f>
      </c>
      <c r="C346" s="7"/>
      <c r="D346" s="7"/>
      <c r="E346" s="8">
        <f>IF(C346="","",IFERROR(VLOOKUP(C346,Insumos!$A:$I,9,FALSE),IFERROR(VLOOKUP(C346,Preparos!$A:$D,4,FALSE),"")))</f>
      </c>
      <c r="F346" s="8">
        <f>IF(C346="","",IFERROR(VLOOKUP(C346,Insumos!$A:$G,7,FALSE),100))</f>
      </c>
      <c r="G346" s="9">
        <f>IF(C346="","",IFERROR(VLOOKUP(C346,Insumos!$A:$J,10,FALSE),IFERROR(VLOOKUP(C346,Preparos!$A:$F,6,FALSE),0)))</f>
      </c>
      <c r="H346" s="10">
        <f>IF(OR(D346="",G346="",F346=0),"",D346*G346*(100/F346))</f>
      </c>
      <c r="I346" s="5"/>
    </row>
    <row r="347" spans="1:9" x14ac:dyDescent="0.25">
      <c r="A347" s="7"/>
      <c r="B347" s="8">
        <f>IF(C347="","",IF(ISNUMBER(MATCH(C347,Insumos!$A:$A,0)),"insumo",IF(ISNUMBER(MATCH(C347,Preparos!$A:$A,0)),"preparo","")))</f>
      </c>
      <c r="C347" s="7"/>
      <c r="D347" s="7"/>
      <c r="E347" s="8">
        <f>IF(C347="","",IFERROR(VLOOKUP(C347,Insumos!$A:$I,9,FALSE),IFERROR(VLOOKUP(C347,Preparos!$A:$D,4,FALSE),"")))</f>
      </c>
      <c r="F347" s="8">
        <f>IF(C347="","",IFERROR(VLOOKUP(C347,Insumos!$A:$G,7,FALSE),100))</f>
      </c>
      <c r="G347" s="9">
        <f>IF(C347="","",IFERROR(VLOOKUP(C347,Insumos!$A:$J,10,FALSE),IFERROR(VLOOKUP(C347,Preparos!$A:$F,6,FALSE),0)))</f>
      </c>
      <c r="H347" s="10">
        <f>IF(OR(D347="",G347="",F347=0),"",D347*G347*(100/F347))</f>
      </c>
      <c r="I347" s="5"/>
    </row>
    <row r="348" spans="1:9" x14ac:dyDescent="0.25">
      <c r="A348" s="7"/>
      <c r="B348" s="8">
        <f>IF(C348="","",IF(ISNUMBER(MATCH(C348,Insumos!$A:$A,0)),"insumo",IF(ISNUMBER(MATCH(C348,Preparos!$A:$A,0)),"preparo","")))</f>
      </c>
      <c r="C348" s="7"/>
      <c r="D348" s="7"/>
      <c r="E348" s="8">
        <f>IF(C348="","",IFERROR(VLOOKUP(C348,Insumos!$A:$I,9,FALSE),IFERROR(VLOOKUP(C348,Preparos!$A:$D,4,FALSE),"")))</f>
      </c>
      <c r="F348" s="8">
        <f>IF(C348="","",IFERROR(VLOOKUP(C348,Insumos!$A:$G,7,FALSE),100))</f>
      </c>
      <c r="G348" s="9">
        <f>IF(C348="","",IFERROR(VLOOKUP(C348,Insumos!$A:$J,10,FALSE),IFERROR(VLOOKUP(C348,Preparos!$A:$F,6,FALSE),0)))</f>
      </c>
      <c r="H348" s="10">
        <f>IF(OR(D348="",G348="",F348=0),"",D348*G348*(100/F348))</f>
      </c>
      <c r="I348" s="5"/>
    </row>
    <row r="349" spans="1:9" x14ac:dyDescent="0.25">
      <c r="A349" s="7"/>
      <c r="B349" s="8">
        <f>IF(C349="","",IF(ISNUMBER(MATCH(C349,Insumos!$A:$A,0)),"insumo",IF(ISNUMBER(MATCH(C349,Preparos!$A:$A,0)),"preparo","")))</f>
      </c>
      <c r="C349" s="7"/>
      <c r="D349" s="7"/>
      <c r="E349" s="8">
        <f>IF(C349="","",IFERROR(VLOOKUP(C349,Insumos!$A:$I,9,FALSE),IFERROR(VLOOKUP(C349,Preparos!$A:$D,4,FALSE),"")))</f>
      </c>
      <c r="F349" s="8">
        <f>IF(C349="","",IFERROR(VLOOKUP(C349,Insumos!$A:$G,7,FALSE),100))</f>
      </c>
      <c r="G349" s="9">
        <f>IF(C349="","",IFERROR(VLOOKUP(C349,Insumos!$A:$J,10,FALSE),IFERROR(VLOOKUP(C349,Preparos!$A:$F,6,FALSE),0)))</f>
      </c>
      <c r="H349" s="10">
        <f>IF(OR(D349="",G349="",F349=0),"",D349*G349*(100/F349))</f>
      </c>
      <c r="I349" s="5"/>
    </row>
    <row r="350" spans="1:9" x14ac:dyDescent="0.25">
      <c r="A350" s="7"/>
      <c r="B350" s="8">
        <f>IF(C350="","",IF(ISNUMBER(MATCH(C350,Insumos!$A:$A,0)),"insumo",IF(ISNUMBER(MATCH(C350,Preparos!$A:$A,0)),"preparo","")))</f>
      </c>
      <c r="C350" s="7"/>
      <c r="D350" s="7"/>
      <c r="E350" s="8">
        <f>IF(C350="","",IFERROR(VLOOKUP(C350,Insumos!$A:$I,9,FALSE),IFERROR(VLOOKUP(C350,Preparos!$A:$D,4,FALSE),"")))</f>
      </c>
      <c r="F350" s="8">
        <f>IF(C350="","",IFERROR(VLOOKUP(C350,Insumos!$A:$G,7,FALSE),100))</f>
      </c>
      <c r="G350" s="9">
        <f>IF(C350="","",IFERROR(VLOOKUP(C350,Insumos!$A:$J,10,FALSE),IFERROR(VLOOKUP(C350,Preparos!$A:$F,6,FALSE),0)))</f>
      </c>
      <c r="H350" s="10">
        <f>IF(OR(D350="",G350="",F350=0),"",D350*G350*(100/F350))</f>
      </c>
      <c r="I350" s="5"/>
    </row>
    <row r="351" spans="1:9" x14ac:dyDescent="0.25">
      <c r="A351" s="7"/>
      <c r="B351" s="8">
        <f>IF(C351="","",IF(ISNUMBER(MATCH(C351,Insumos!$A:$A,0)),"insumo",IF(ISNUMBER(MATCH(C351,Preparos!$A:$A,0)),"preparo","")))</f>
      </c>
      <c r="C351" s="7"/>
      <c r="D351" s="7"/>
      <c r="E351" s="8">
        <f>IF(C351="","",IFERROR(VLOOKUP(C351,Insumos!$A:$I,9,FALSE),IFERROR(VLOOKUP(C351,Preparos!$A:$D,4,FALSE),"")))</f>
      </c>
      <c r="F351" s="8">
        <f>IF(C351="","",IFERROR(VLOOKUP(C351,Insumos!$A:$G,7,FALSE),100))</f>
      </c>
      <c r="G351" s="9">
        <f>IF(C351="","",IFERROR(VLOOKUP(C351,Insumos!$A:$J,10,FALSE),IFERROR(VLOOKUP(C351,Preparos!$A:$F,6,FALSE),0)))</f>
      </c>
      <c r="H351" s="10">
        <f>IF(OR(D351="",G351="",F351=0),"",D351*G351*(100/F351))</f>
      </c>
      <c r="I351" s="5"/>
    </row>
    <row r="352" spans="1:9" x14ac:dyDescent="0.25">
      <c r="A352" s="7"/>
      <c r="B352" s="8">
        <f>IF(C352="","",IF(ISNUMBER(MATCH(C352,Insumos!$A:$A,0)),"insumo",IF(ISNUMBER(MATCH(C352,Preparos!$A:$A,0)),"preparo","")))</f>
      </c>
      <c r="C352" s="7"/>
      <c r="D352" s="7"/>
      <c r="E352" s="8">
        <f>IF(C352="","",IFERROR(VLOOKUP(C352,Insumos!$A:$I,9,FALSE),IFERROR(VLOOKUP(C352,Preparos!$A:$D,4,FALSE),"")))</f>
      </c>
      <c r="F352" s="8">
        <f>IF(C352="","",IFERROR(VLOOKUP(C352,Insumos!$A:$G,7,FALSE),100))</f>
      </c>
      <c r="G352" s="9">
        <f>IF(C352="","",IFERROR(VLOOKUP(C352,Insumos!$A:$J,10,FALSE),IFERROR(VLOOKUP(C352,Preparos!$A:$F,6,FALSE),0)))</f>
      </c>
      <c r="H352" s="10">
        <f>IF(OR(D352="",G352="",F352=0),"",D352*G352*(100/F352))</f>
      </c>
      <c r="I352" s="5"/>
    </row>
    <row r="353" spans="1:9" x14ac:dyDescent="0.25">
      <c r="A353" s="7"/>
      <c r="B353" s="8">
        <f>IF(C353="","",IF(ISNUMBER(MATCH(C353,Insumos!$A:$A,0)),"insumo",IF(ISNUMBER(MATCH(C353,Preparos!$A:$A,0)),"preparo","")))</f>
      </c>
      <c r="C353" s="7"/>
      <c r="D353" s="7"/>
      <c r="E353" s="8">
        <f>IF(C353="","",IFERROR(VLOOKUP(C353,Insumos!$A:$I,9,FALSE),IFERROR(VLOOKUP(C353,Preparos!$A:$D,4,FALSE),"")))</f>
      </c>
      <c r="F353" s="8">
        <f>IF(C353="","",IFERROR(VLOOKUP(C353,Insumos!$A:$G,7,FALSE),100))</f>
      </c>
      <c r="G353" s="9">
        <f>IF(C353="","",IFERROR(VLOOKUP(C353,Insumos!$A:$J,10,FALSE),IFERROR(VLOOKUP(C353,Preparos!$A:$F,6,FALSE),0)))</f>
      </c>
      <c r="H353" s="10">
        <f>IF(OR(D353="",G353="",F353=0),"",D353*G353*(100/F353))</f>
      </c>
      <c r="I353" s="5"/>
    </row>
    <row r="354" spans="1:9" x14ac:dyDescent="0.25">
      <c r="A354" s="7"/>
      <c r="B354" s="8">
        <f>IF(C354="","",IF(ISNUMBER(MATCH(C354,Insumos!$A:$A,0)),"insumo",IF(ISNUMBER(MATCH(C354,Preparos!$A:$A,0)),"preparo","")))</f>
      </c>
      <c r="C354" s="7"/>
      <c r="D354" s="7"/>
      <c r="E354" s="8">
        <f>IF(C354="","",IFERROR(VLOOKUP(C354,Insumos!$A:$I,9,FALSE),IFERROR(VLOOKUP(C354,Preparos!$A:$D,4,FALSE),"")))</f>
      </c>
      <c r="F354" s="8">
        <f>IF(C354="","",IFERROR(VLOOKUP(C354,Insumos!$A:$G,7,FALSE),100))</f>
      </c>
      <c r="G354" s="9">
        <f>IF(C354="","",IFERROR(VLOOKUP(C354,Insumos!$A:$J,10,FALSE),IFERROR(VLOOKUP(C354,Preparos!$A:$F,6,FALSE),0)))</f>
      </c>
      <c r="H354" s="10">
        <f>IF(OR(D354="",G354="",F354=0),"",D354*G354*(100/F354))</f>
      </c>
      <c r="I354" s="5"/>
    </row>
    <row r="355" spans="1:9" x14ac:dyDescent="0.25">
      <c r="A355" s="7"/>
      <c r="B355" s="8">
        <f>IF(C355="","",IF(ISNUMBER(MATCH(C355,Insumos!$A:$A,0)),"insumo",IF(ISNUMBER(MATCH(C355,Preparos!$A:$A,0)),"preparo","")))</f>
      </c>
      <c r="C355" s="7"/>
      <c r="D355" s="7"/>
      <c r="E355" s="8">
        <f>IF(C355="","",IFERROR(VLOOKUP(C355,Insumos!$A:$I,9,FALSE),IFERROR(VLOOKUP(C355,Preparos!$A:$D,4,FALSE),"")))</f>
      </c>
      <c r="F355" s="8">
        <f>IF(C355="","",IFERROR(VLOOKUP(C355,Insumos!$A:$G,7,FALSE),100))</f>
      </c>
      <c r="G355" s="9">
        <f>IF(C355="","",IFERROR(VLOOKUP(C355,Insumos!$A:$J,10,FALSE),IFERROR(VLOOKUP(C355,Preparos!$A:$F,6,FALSE),0)))</f>
      </c>
      <c r="H355" s="10">
        <f>IF(OR(D355="",G355="",F355=0),"",D355*G355*(100/F355))</f>
      </c>
      <c r="I355" s="5"/>
    </row>
    <row r="356" spans="1:9" x14ac:dyDescent="0.25">
      <c r="A356" s="7"/>
      <c r="B356" s="8">
        <f>IF(C356="","",IF(ISNUMBER(MATCH(C356,Insumos!$A:$A,0)),"insumo",IF(ISNUMBER(MATCH(C356,Preparos!$A:$A,0)),"preparo","")))</f>
      </c>
      <c r="C356" s="7"/>
      <c r="D356" s="7"/>
      <c r="E356" s="8">
        <f>IF(C356="","",IFERROR(VLOOKUP(C356,Insumos!$A:$I,9,FALSE),IFERROR(VLOOKUP(C356,Preparos!$A:$D,4,FALSE),"")))</f>
      </c>
      <c r="F356" s="8">
        <f>IF(C356="","",IFERROR(VLOOKUP(C356,Insumos!$A:$G,7,FALSE),100))</f>
      </c>
      <c r="G356" s="9">
        <f>IF(C356="","",IFERROR(VLOOKUP(C356,Insumos!$A:$J,10,FALSE),IFERROR(VLOOKUP(C356,Preparos!$A:$F,6,FALSE),0)))</f>
      </c>
      <c r="H356" s="10">
        <f>IF(OR(D356="",G356="",F356=0),"",D356*G356*(100/F356))</f>
      </c>
      <c r="I356" s="5"/>
    </row>
    <row r="357" spans="1:9" x14ac:dyDescent="0.25">
      <c r="A357" s="7"/>
      <c r="B357" s="8">
        <f>IF(C357="","",IF(ISNUMBER(MATCH(C357,Insumos!$A:$A,0)),"insumo",IF(ISNUMBER(MATCH(C357,Preparos!$A:$A,0)),"preparo","")))</f>
      </c>
      <c r="C357" s="7"/>
      <c r="D357" s="7"/>
      <c r="E357" s="8">
        <f>IF(C357="","",IFERROR(VLOOKUP(C357,Insumos!$A:$I,9,FALSE),IFERROR(VLOOKUP(C357,Preparos!$A:$D,4,FALSE),"")))</f>
      </c>
      <c r="F357" s="8">
        <f>IF(C357="","",IFERROR(VLOOKUP(C357,Insumos!$A:$G,7,FALSE),100))</f>
      </c>
      <c r="G357" s="9">
        <f>IF(C357="","",IFERROR(VLOOKUP(C357,Insumos!$A:$J,10,FALSE),IFERROR(VLOOKUP(C357,Preparos!$A:$F,6,FALSE),0)))</f>
      </c>
      <c r="H357" s="10">
        <f>IF(OR(D357="",G357="",F357=0),"",D357*G357*(100/F357))</f>
      </c>
      <c r="I357" s="5"/>
    </row>
    <row r="358" spans="1:9" x14ac:dyDescent="0.25">
      <c r="A358" s="7"/>
      <c r="B358" s="8">
        <f>IF(C358="","",IF(ISNUMBER(MATCH(C358,Insumos!$A:$A,0)),"insumo",IF(ISNUMBER(MATCH(C358,Preparos!$A:$A,0)),"preparo","")))</f>
      </c>
      <c r="C358" s="7"/>
      <c r="D358" s="7"/>
      <c r="E358" s="8">
        <f>IF(C358="","",IFERROR(VLOOKUP(C358,Insumos!$A:$I,9,FALSE),IFERROR(VLOOKUP(C358,Preparos!$A:$D,4,FALSE),"")))</f>
      </c>
      <c r="F358" s="8">
        <f>IF(C358="","",IFERROR(VLOOKUP(C358,Insumos!$A:$G,7,FALSE),100))</f>
      </c>
      <c r="G358" s="9">
        <f>IF(C358="","",IFERROR(VLOOKUP(C358,Insumos!$A:$J,10,FALSE),IFERROR(VLOOKUP(C358,Preparos!$A:$F,6,FALSE),0)))</f>
      </c>
      <c r="H358" s="10">
        <f>IF(OR(D358="",G358="",F358=0),"",D358*G358*(100/F358))</f>
      </c>
      <c r="I358" s="5"/>
    </row>
    <row r="359" spans="1:9" x14ac:dyDescent="0.25">
      <c r="A359" s="7"/>
      <c r="B359" s="8">
        <f>IF(C359="","",IF(ISNUMBER(MATCH(C359,Insumos!$A:$A,0)),"insumo",IF(ISNUMBER(MATCH(C359,Preparos!$A:$A,0)),"preparo","")))</f>
      </c>
      <c r="C359" s="7"/>
      <c r="D359" s="7"/>
      <c r="E359" s="8">
        <f>IF(C359="","",IFERROR(VLOOKUP(C359,Insumos!$A:$I,9,FALSE),IFERROR(VLOOKUP(C359,Preparos!$A:$D,4,FALSE),"")))</f>
      </c>
      <c r="F359" s="8">
        <f>IF(C359="","",IFERROR(VLOOKUP(C359,Insumos!$A:$G,7,FALSE),100))</f>
      </c>
      <c r="G359" s="9">
        <f>IF(C359="","",IFERROR(VLOOKUP(C359,Insumos!$A:$J,10,FALSE),IFERROR(VLOOKUP(C359,Preparos!$A:$F,6,FALSE),0)))</f>
      </c>
      <c r="H359" s="10">
        <f>IF(OR(D359="",G359="",F359=0),"",D359*G359*(100/F359))</f>
      </c>
      <c r="I359" s="5"/>
    </row>
    <row r="360" spans="1:9" x14ac:dyDescent="0.25">
      <c r="A360" s="7"/>
      <c r="B360" s="8">
        <f>IF(C360="","",IF(ISNUMBER(MATCH(C360,Insumos!$A:$A,0)),"insumo",IF(ISNUMBER(MATCH(C360,Preparos!$A:$A,0)),"preparo","")))</f>
      </c>
      <c r="C360" s="7"/>
      <c r="D360" s="7"/>
      <c r="E360" s="8">
        <f>IF(C360="","",IFERROR(VLOOKUP(C360,Insumos!$A:$I,9,FALSE),IFERROR(VLOOKUP(C360,Preparos!$A:$D,4,FALSE),"")))</f>
      </c>
      <c r="F360" s="8">
        <f>IF(C360="","",IFERROR(VLOOKUP(C360,Insumos!$A:$G,7,FALSE),100))</f>
      </c>
      <c r="G360" s="9">
        <f>IF(C360="","",IFERROR(VLOOKUP(C360,Insumos!$A:$J,10,FALSE),IFERROR(VLOOKUP(C360,Preparos!$A:$F,6,FALSE),0)))</f>
      </c>
      <c r="H360" s="10">
        <f>IF(OR(D360="",G360="",F360=0),"",D360*G360*(100/F360))</f>
      </c>
      <c r="I360" s="5"/>
    </row>
    <row r="361" spans="1:9" x14ac:dyDescent="0.25">
      <c r="A361" s="7"/>
      <c r="B361" s="8">
        <f>IF(C361="","",IF(ISNUMBER(MATCH(C361,Insumos!$A:$A,0)),"insumo",IF(ISNUMBER(MATCH(C361,Preparos!$A:$A,0)),"preparo","")))</f>
      </c>
      <c r="C361" s="7"/>
      <c r="D361" s="7"/>
      <c r="E361" s="8">
        <f>IF(C361="","",IFERROR(VLOOKUP(C361,Insumos!$A:$I,9,FALSE),IFERROR(VLOOKUP(C361,Preparos!$A:$D,4,FALSE),"")))</f>
      </c>
      <c r="F361" s="8">
        <f>IF(C361="","",IFERROR(VLOOKUP(C361,Insumos!$A:$G,7,FALSE),100))</f>
      </c>
      <c r="G361" s="9">
        <f>IF(C361="","",IFERROR(VLOOKUP(C361,Insumos!$A:$J,10,FALSE),IFERROR(VLOOKUP(C361,Preparos!$A:$F,6,FALSE),0)))</f>
      </c>
      <c r="H361" s="10">
        <f>IF(OR(D361="",G361="",F361=0),"",D361*G361*(100/F361))</f>
      </c>
      <c r="I361" s="5"/>
    </row>
    <row r="362" spans="1:9" x14ac:dyDescent="0.25">
      <c r="A362" s="7"/>
      <c r="B362" s="8">
        <f>IF(C362="","",IF(ISNUMBER(MATCH(C362,Insumos!$A:$A,0)),"insumo",IF(ISNUMBER(MATCH(C362,Preparos!$A:$A,0)),"preparo","")))</f>
      </c>
      <c r="C362" s="7"/>
      <c r="D362" s="7"/>
      <c r="E362" s="8">
        <f>IF(C362="","",IFERROR(VLOOKUP(C362,Insumos!$A:$I,9,FALSE),IFERROR(VLOOKUP(C362,Preparos!$A:$D,4,FALSE),"")))</f>
      </c>
      <c r="F362" s="8">
        <f>IF(C362="","",IFERROR(VLOOKUP(C362,Insumos!$A:$G,7,FALSE),100))</f>
      </c>
      <c r="G362" s="9">
        <f>IF(C362="","",IFERROR(VLOOKUP(C362,Insumos!$A:$J,10,FALSE),IFERROR(VLOOKUP(C362,Preparos!$A:$F,6,FALSE),0)))</f>
      </c>
      <c r="H362" s="10">
        <f>IF(OR(D362="",G362="",F362=0),"",D362*G362*(100/F362))</f>
      </c>
      <c r="I362" s="5"/>
    </row>
    <row r="363" spans="1:9" x14ac:dyDescent="0.25">
      <c r="A363" s="7"/>
      <c r="B363" s="8">
        <f>IF(C363="","",IF(ISNUMBER(MATCH(C363,Insumos!$A:$A,0)),"insumo",IF(ISNUMBER(MATCH(C363,Preparos!$A:$A,0)),"preparo","")))</f>
      </c>
      <c r="C363" s="7"/>
      <c r="D363" s="7"/>
      <c r="E363" s="8">
        <f>IF(C363="","",IFERROR(VLOOKUP(C363,Insumos!$A:$I,9,FALSE),IFERROR(VLOOKUP(C363,Preparos!$A:$D,4,FALSE),"")))</f>
      </c>
      <c r="F363" s="8">
        <f>IF(C363="","",IFERROR(VLOOKUP(C363,Insumos!$A:$G,7,FALSE),100))</f>
      </c>
      <c r="G363" s="9">
        <f>IF(C363="","",IFERROR(VLOOKUP(C363,Insumos!$A:$J,10,FALSE),IFERROR(VLOOKUP(C363,Preparos!$A:$F,6,FALSE),0)))</f>
      </c>
      <c r="H363" s="10">
        <f>IF(OR(D363="",G363="",F363=0),"",D363*G363*(100/F363))</f>
      </c>
      <c r="I363" s="5"/>
    </row>
    <row r="364" spans="1:9" x14ac:dyDescent="0.25">
      <c r="A364" s="7"/>
      <c r="B364" s="8">
        <f>IF(C364="","",IF(ISNUMBER(MATCH(C364,Insumos!$A:$A,0)),"insumo",IF(ISNUMBER(MATCH(C364,Preparos!$A:$A,0)),"preparo","")))</f>
      </c>
      <c r="C364" s="7"/>
      <c r="D364" s="7"/>
      <c r="E364" s="8">
        <f>IF(C364="","",IFERROR(VLOOKUP(C364,Insumos!$A:$I,9,FALSE),IFERROR(VLOOKUP(C364,Preparos!$A:$D,4,FALSE),"")))</f>
      </c>
      <c r="F364" s="8">
        <f>IF(C364="","",IFERROR(VLOOKUP(C364,Insumos!$A:$G,7,FALSE),100))</f>
      </c>
      <c r="G364" s="9">
        <f>IF(C364="","",IFERROR(VLOOKUP(C364,Insumos!$A:$J,10,FALSE),IFERROR(VLOOKUP(C364,Preparos!$A:$F,6,FALSE),0)))</f>
      </c>
      <c r="H364" s="10">
        <f>IF(OR(D364="",G364="",F364=0),"",D364*G364*(100/F364))</f>
      </c>
      <c r="I364" s="5"/>
    </row>
    <row r="365" spans="1:9" x14ac:dyDescent="0.25">
      <c r="A365" s="7"/>
      <c r="B365" s="8">
        <f>IF(C365="","",IF(ISNUMBER(MATCH(C365,Insumos!$A:$A,0)),"insumo",IF(ISNUMBER(MATCH(C365,Preparos!$A:$A,0)),"preparo","")))</f>
      </c>
      <c r="C365" s="7"/>
      <c r="D365" s="7"/>
      <c r="E365" s="8">
        <f>IF(C365="","",IFERROR(VLOOKUP(C365,Insumos!$A:$I,9,FALSE),IFERROR(VLOOKUP(C365,Preparos!$A:$D,4,FALSE),"")))</f>
      </c>
      <c r="F365" s="8">
        <f>IF(C365="","",IFERROR(VLOOKUP(C365,Insumos!$A:$G,7,FALSE),100))</f>
      </c>
      <c r="G365" s="9">
        <f>IF(C365="","",IFERROR(VLOOKUP(C365,Insumos!$A:$J,10,FALSE),IFERROR(VLOOKUP(C365,Preparos!$A:$F,6,FALSE),0)))</f>
      </c>
      <c r="H365" s="10">
        <f>IF(OR(D365="",G365="",F365=0),"",D365*G365*(100/F365))</f>
      </c>
      <c r="I365" s="5"/>
    </row>
    <row r="366" spans="1:9" x14ac:dyDescent="0.25">
      <c r="A366" s="7"/>
      <c r="B366" s="8">
        <f>IF(C366="","",IF(ISNUMBER(MATCH(C366,Insumos!$A:$A,0)),"insumo",IF(ISNUMBER(MATCH(C366,Preparos!$A:$A,0)),"preparo","")))</f>
      </c>
      <c r="C366" s="7"/>
      <c r="D366" s="7"/>
      <c r="E366" s="8">
        <f>IF(C366="","",IFERROR(VLOOKUP(C366,Insumos!$A:$I,9,FALSE),IFERROR(VLOOKUP(C366,Preparos!$A:$D,4,FALSE),"")))</f>
      </c>
      <c r="F366" s="8">
        <f>IF(C366="","",IFERROR(VLOOKUP(C366,Insumos!$A:$G,7,FALSE),100))</f>
      </c>
      <c r="G366" s="9">
        <f>IF(C366="","",IFERROR(VLOOKUP(C366,Insumos!$A:$J,10,FALSE),IFERROR(VLOOKUP(C366,Preparos!$A:$F,6,FALSE),0)))</f>
      </c>
      <c r="H366" s="10">
        <f>IF(OR(D366="",G366="",F366=0),"",D366*G366*(100/F366))</f>
      </c>
      <c r="I366" s="5"/>
    </row>
    <row r="367" spans="1:9" x14ac:dyDescent="0.25">
      <c r="A367" s="7"/>
      <c r="B367" s="8">
        <f>IF(C367="","",IF(ISNUMBER(MATCH(C367,Insumos!$A:$A,0)),"insumo",IF(ISNUMBER(MATCH(C367,Preparos!$A:$A,0)),"preparo","")))</f>
      </c>
      <c r="C367" s="7"/>
      <c r="D367" s="7"/>
      <c r="E367" s="8">
        <f>IF(C367="","",IFERROR(VLOOKUP(C367,Insumos!$A:$I,9,FALSE),IFERROR(VLOOKUP(C367,Preparos!$A:$D,4,FALSE),"")))</f>
      </c>
      <c r="F367" s="8">
        <f>IF(C367="","",IFERROR(VLOOKUP(C367,Insumos!$A:$G,7,FALSE),100))</f>
      </c>
      <c r="G367" s="9">
        <f>IF(C367="","",IFERROR(VLOOKUP(C367,Insumos!$A:$J,10,FALSE),IFERROR(VLOOKUP(C367,Preparos!$A:$F,6,FALSE),0)))</f>
      </c>
      <c r="H367" s="10">
        <f>IF(OR(D367="",G367="",F367=0),"",D367*G367*(100/F367))</f>
      </c>
      <c r="I367" s="5"/>
    </row>
    <row r="368" spans="1:9" x14ac:dyDescent="0.25">
      <c r="A368" s="7"/>
      <c r="B368" s="8">
        <f>IF(C368="","",IF(ISNUMBER(MATCH(C368,Insumos!$A:$A,0)),"insumo",IF(ISNUMBER(MATCH(C368,Preparos!$A:$A,0)),"preparo","")))</f>
      </c>
      <c r="C368" s="7"/>
      <c r="D368" s="7"/>
      <c r="E368" s="8">
        <f>IF(C368="","",IFERROR(VLOOKUP(C368,Insumos!$A:$I,9,FALSE),IFERROR(VLOOKUP(C368,Preparos!$A:$D,4,FALSE),"")))</f>
      </c>
      <c r="F368" s="8">
        <f>IF(C368="","",IFERROR(VLOOKUP(C368,Insumos!$A:$G,7,FALSE),100))</f>
      </c>
      <c r="G368" s="9">
        <f>IF(C368="","",IFERROR(VLOOKUP(C368,Insumos!$A:$J,10,FALSE),IFERROR(VLOOKUP(C368,Preparos!$A:$F,6,FALSE),0)))</f>
      </c>
      <c r="H368" s="10">
        <f>IF(OR(D368="",G368="",F368=0),"",D368*G368*(100/F368))</f>
      </c>
      <c r="I368" s="5"/>
    </row>
    <row r="369" spans="1:9" x14ac:dyDescent="0.25">
      <c r="A369" s="7"/>
      <c r="B369" s="8">
        <f>IF(C369="","",IF(ISNUMBER(MATCH(C369,Insumos!$A:$A,0)),"insumo",IF(ISNUMBER(MATCH(C369,Preparos!$A:$A,0)),"preparo","")))</f>
      </c>
      <c r="C369" s="7"/>
      <c r="D369" s="7"/>
      <c r="E369" s="8">
        <f>IF(C369="","",IFERROR(VLOOKUP(C369,Insumos!$A:$I,9,FALSE),IFERROR(VLOOKUP(C369,Preparos!$A:$D,4,FALSE),"")))</f>
      </c>
      <c r="F369" s="8">
        <f>IF(C369="","",IFERROR(VLOOKUP(C369,Insumos!$A:$G,7,FALSE),100))</f>
      </c>
      <c r="G369" s="9">
        <f>IF(C369="","",IFERROR(VLOOKUP(C369,Insumos!$A:$J,10,FALSE),IFERROR(VLOOKUP(C369,Preparos!$A:$F,6,FALSE),0)))</f>
      </c>
      <c r="H369" s="10">
        <f>IF(OR(D369="",G369="",F369=0),"",D369*G369*(100/F369))</f>
      </c>
      <c r="I369" s="5"/>
    </row>
    <row r="370" spans="1:9" x14ac:dyDescent="0.25">
      <c r="A370" s="7"/>
      <c r="B370" s="8">
        <f>IF(C370="","",IF(ISNUMBER(MATCH(C370,Insumos!$A:$A,0)),"insumo",IF(ISNUMBER(MATCH(C370,Preparos!$A:$A,0)),"preparo","")))</f>
      </c>
      <c r="C370" s="7"/>
      <c r="D370" s="7"/>
      <c r="E370" s="8">
        <f>IF(C370="","",IFERROR(VLOOKUP(C370,Insumos!$A:$I,9,FALSE),IFERROR(VLOOKUP(C370,Preparos!$A:$D,4,FALSE),"")))</f>
      </c>
      <c r="F370" s="8">
        <f>IF(C370="","",IFERROR(VLOOKUP(C370,Insumos!$A:$G,7,FALSE),100))</f>
      </c>
      <c r="G370" s="9">
        <f>IF(C370="","",IFERROR(VLOOKUP(C370,Insumos!$A:$J,10,FALSE),IFERROR(VLOOKUP(C370,Preparos!$A:$F,6,FALSE),0)))</f>
      </c>
      <c r="H370" s="10">
        <f>IF(OR(D370="",G370="",F370=0),"",D370*G370*(100/F370))</f>
      </c>
      <c r="I370" s="5"/>
    </row>
    <row r="371" spans="1:9" x14ac:dyDescent="0.25">
      <c r="A371" s="7"/>
      <c r="B371" s="8">
        <f>IF(C371="","",IF(ISNUMBER(MATCH(C371,Insumos!$A:$A,0)),"insumo",IF(ISNUMBER(MATCH(C371,Preparos!$A:$A,0)),"preparo","")))</f>
      </c>
      <c r="C371" s="7"/>
      <c r="D371" s="7"/>
      <c r="E371" s="8">
        <f>IF(C371="","",IFERROR(VLOOKUP(C371,Insumos!$A:$I,9,FALSE),IFERROR(VLOOKUP(C371,Preparos!$A:$D,4,FALSE),"")))</f>
      </c>
      <c r="F371" s="8">
        <f>IF(C371="","",IFERROR(VLOOKUP(C371,Insumos!$A:$G,7,FALSE),100))</f>
      </c>
      <c r="G371" s="9">
        <f>IF(C371="","",IFERROR(VLOOKUP(C371,Insumos!$A:$J,10,FALSE),IFERROR(VLOOKUP(C371,Preparos!$A:$F,6,FALSE),0)))</f>
      </c>
      <c r="H371" s="10">
        <f>IF(OR(D371="",G371="",F371=0),"",D371*G371*(100/F371))</f>
      </c>
      <c r="I371" s="5"/>
    </row>
    <row r="372" spans="1:9" x14ac:dyDescent="0.25">
      <c r="A372" s="7"/>
      <c r="B372" s="8">
        <f>IF(C372="","",IF(ISNUMBER(MATCH(C372,Insumos!$A:$A,0)),"insumo",IF(ISNUMBER(MATCH(C372,Preparos!$A:$A,0)),"preparo","")))</f>
      </c>
      <c r="C372" s="7"/>
      <c r="D372" s="7"/>
      <c r="E372" s="8">
        <f>IF(C372="","",IFERROR(VLOOKUP(C372,Insumos!$A:$I,9,FALSE),IFERROR(VLOOKUP(C372,Preparos!$A:$D,4,FALSE),"")))</f>
      </c>
      <c r="F372" s="8">
        <f>IF(C372="","",IFERROR(VLOOKUP(C372,Insumos!$A:$G,7,FALSE),100))</f>
      </c>
      <c r="G372" s="9">
        <f>IF(C372="","",IFERROR(VLOOKUP(C372,Insumos!$A:$J,10,FALSE),IFERROR(VLOOKUP(C372,Preparos!$A:$F,6,FALSE),0)))</f>
      </c>
      <c r="H372" s="10">
        <f>IF(OR(D372="",G372="",F372=0),"",D372*G372*(100/F372))</f>
      </c>
      <c r="I372" s="5"/>
    </row>
    <row r="373" spans="1:9" x14ac:dyDescent="0.25">
      <c r="A373" s="7"/>
      <c r="B373" s="8">
        <f>IF(C373="","",IF(ISNUMBER(MATCH(C373,Insumos!$A:$A,0)),"insumo",IF(ISNUMBER(MATCH(C373,Preparos!$A:$A,0)),"preparo","")))</f>
      </c>
      <c r="C373" s="7"/>
      <c r="D373" s="7"/>
      <c r="E373" s="8">
        <f>IF(C373="","",IFERROR(VLOOKUP(C373,Insumos!$A:$I,9,FALSE),IFERROR(VLOOKUP(C373,Preparos!$A:$D,4,FALSE),"")))</f>
      </c>
      <c r="F373" s="8">
        <f>IF(C373="","",IFERROR(VLOOKUP(C373,Insumos!$A:$G,7,FALSE),100))</f>
      </c>
      <c r="G373" s="9">
        <f>IF(C373="","",IFERROR(VLOOKUP(C373,Insumos!$A:$J,10,FALSE),IFERROR(VLOOKUP(C373,Preparos!$A:$F,6,FALSE),0)))</f>
      </c>
      <c r="H373" s="10">
        <f>IF(OR(D373="",G373="",F373=0),"",D373*G373*(100/F373))</f>
      </c>
      <c r="I373" s="5"/>
    </row>
    <row r="374" spans="1:9" x14ac:dyDescent="0.25">
      <c r="A374" s="7"/>
      <c r="B374" s="8">
        <f>IF(C374="","",IF(ISNUMBER(MATCH(C374,Insumos!$A:$A,0)),"insumo",IF(ISNUMBER(MATCH(C374,Preparos!$A:$A,0)),"preparo","")))</f>
      </c>
      <c r="C374" s="7"/>
      <c r="D374" s="7"/>
      <c r="E374" s="8">
        <f>IF(C374="","",IFERROR(VLOOKUP(C374,Insumos!$A:$I,9,FALSE),IFERROR(VLOOKUP(C374,Preparos!$A:$D,4,FALSE),"")))</f>
      </c>
      <c r="F374" s="8">
        <f>IF(C374="","",IFERROR(VLOOKUP(C374,Insumos!$A:$G,7,FALSE),100))</f>
      </c>
      <c r="G374" s="9">
        <f>IF(C374="","",IFERROR(VLOOKUP(C374,Insumos!$A:$J,10,FALSE),IFERROR(VLOOKUP(C374,Preparos!$A:$F,6,FALSE),0)))</f>
      </c>
      <c r="H374" s="10">
        <f>IF(OR(D374="",G374="",F374=0),"",D374*G374*(100/F374))</f>
      </c>
      <c r="I374" s="5"/>
    </row>
    <row r="375" spans="1:9" x14ac:dyDescent="0.25">
      <c r="A375" s="7"/>
      <c r="B375" s="8">
        <f>IF(C375="","",IF(ISNUMBER(MATCH(C375,Insumos!$A:$A,0)),"insumo",IF(ISNUMBER(MATCH(C375,Preparos!$A:$A,0)),"preparo","")))</f>
      </c>
      <c r="C375" s="7"/>
      <c r="D375" s="7"/>
      <c r="E375" s="8">
        <f>IF(C375="","",IFERROR(VLOOKUP(C375,Insumos!$A:$I,9,FALSE),IFERROR(VLOOKUP(C375,Preparos!$A:$D,4,FALSE),"")))</f>
      </c>
      <c r="F375" s="8">
        <f>IF(C375="","",IFERROR(VLOOKUP(C375,Insumos!$A:$G,7,FALSE),100))</f>
      </c>
      <c r="G375" s="9">
        <f>IF(C375="","",IFERROR(VLOOKUP(C375,Insumos!$A:$J,10,FALSE),IFERROR(VLOOKUP(C375,Preparos!$A:$F,6,FALSE),0)))</f>
      </c>
      <c r="H375" s="10">
        <f>IF(OR(D375="",G375="",F375=0),"",D375*G375*(100/F375))</f>
      </c>
      <c r="I375" s="5"/>
    </row>
    <row r="376" spans="1:9" x14ac:dyDescent="0.25">
      <c r="A376" s="7"/>
      <c r="B376" s="8">
        <f>IF(C376="","",IF(ISNUMBER(MATCH(C376,Insumos!$A:$A,0)),"insumo",IF(ISNUMBER(MATCH(C376,Preparos!$A:$A,0)),"preparo","")))</f>
      </c>
      <c r="C376" s="7"/>
      <c r="D376" s="7"/>
      <c r="E376" s="8">
        <f>IF(C376="","",IFERROR(VLOOKUP(C376,Insumos!$A:$I,9,FALSE),IFERROR(VLOOKUP(C376,Preparos!$A:$D,4,FALSE),"")))</f>
      </c>
      <c r="F376" s="8">
        <f>IF(C376="","",IFERROR(VLOOKUP(C376,Insumos!$A:$G,7,FALSE),100))</f>
      </c>
      <c r="G376" s="9">
        <f>IF(C376="","",IFERROR(VLOOKUP(C376,Insumos!$A:$J,10,FALSE),IFERROR(VLOOKUP(C376,Preparos!$A:$F,6,FALSE),0)))</f>
      </c>
      <c r="H376" s="10">
        <f>IF(OR(D376="",G376="",F376=0),"",D376*G376*(100/F376))</f>
      </c>
      <c r="I376" s="5"/>
    </row>
    <row r="377" spans="1:9" x14ac:dyDescent="0.25">
      <c r="A377" s="7"/>
      <c r="B377" s="8">
        <f>IF(C377="","",IF(ISNUMBER(MATCH(C377,Insumos!$A:$A,0)),"insumo",IF(ISNUMBER(MATCH(C377,Preparos!$A:$A,0)),"preparo","")))</f>
      </c>
      <c r="C377" s="7"/>
      <c r="D377" s="7"/>
      <c r="E377" s="8">
        <f>IF(C377="","",IFERROR(VLOOKUP(C377,Insumos!$A:$I,9,FALSE),IFERROR(VLOOKUP(C377,Preparos!$A:$D,4,FALSE),"")))</f>
      </c>
      <c r="F377" s="8">
        <f>IF(C377="","",IFERROR(VLOOKUP(C377,Insumos!$A:$G,7,FALSE),100))</f>
      </c>
      <c r="G377" s="9">
        <f>IF(C377="","",IFERROR(VLOOKUP(C377,Insumos!$A:$J,10,FALSE),IFERROR(VLOOKUP(C377,Preparos!$A:$F,6,FALSE),0)))</f>
      </c>
      <c r="H377" s="10">
        <f>IF(OR(D377="",G377="",F377=0),"",D377*G377*(100/F377))</f>
      </c>
      <c r="I377" s="5"/>
    </row>
    <row r="378" spans="1:9" x14ac:dyDescent="0.25">
      <c r="A378" s="7"/>
      <c r="B378" s="8">
        <f>IF(C378="","",IF(ISNUMBER(MATCH(C378,Insumos!$A:$A,0)),"insumo",IF(ISNUMBER(MATCH(C378,Preparos!$A:$A,0)),"preparo","")))</f>
      </c>
      <c r="C378" s="7"/>
      <c r="D378" s="7"/>
      <c r="E378" s="8">
        <f>IF(C378="","",IFERROR(VLOOKUP(C378,Insumos!$A:$I,9,FALSE),IFERROR(VLOOKUP(C378,Preparos!$A:$D,4,FALSE),"")))</f>
      </c>
      <c r="F378" s="8">
        <f>IF(C378="","",IFERROR(VLOOKUP(C378,Insumos!$A:$G,7,FALSE),100))</f>
      </c>
      <c r="G378" s="9">
        <f>IF(C378="","",IFERROR(VLOOKUP(C378,Insumos!$A:$J,10,FALSE),IFERROR(VLOOKUP(C378,Preparos!$A:$F,6,FALSE),0)))</f>
      </c>
      <c r="H378" s="10">
        <f>IF(OR(D378="",G378="",F378=0),"",D378*G378*(100/F378))</f>
      </c>
      <c r="I378" s="5"/>
    </row>
    <row r="379" spans="1:9" x14ac:dyDescent="0.25">
      <c r="A379" s="7"/>
      <c r="B379" s="8">
        <f>IF(C379="","",IF(ISNUMBER(MATCH(C379,Insumos!$A:$A,0)),"insumo",IF(ISNUMBER(MATCH(C379,Preparos!$A:$A,0)),"preparo","")))</f>
      </c>
      <c r="C379" s="7"/>
      <c r="D379" s="7"/>
      <c r="E379" s="8">
        <f>IF(C379="","",IFERROR(VLOOKUP(C379,Insumos!$A:$I,9,FALSE),IFERROR(VLOOKUP(C379,Preparos!$A:$D,4,FALSE),"")))</f>
      </c>
      <c r="F379" s="8">
        <f>IF(C379="","",IFERROR(VLOOKUP(C379,Insumos!$A:$G,7,FALSE),100))</f>
      </c>
      <c r="G379" s="9">
        <f>IF(C379="","",IFERROR(VLOOKUP(C379,Insumos!$A:$J,10,FALSE),IFERROR(VLOOKUP(C379,Preparos!$A:$F,6,FALSE),0)))</f>
      </c>
      <c r="H379" s="10">
        <f>IF(OR(D379="",G379="",F379=0),"",D379*G379*(100/F379))</f>
      </c>
      <c r="I379" s="5"/>
    </row>
    <row r="380" spans="1:9" x14ac:dyDescent="0.25">
      <c r="A380" s="7"/>
      <c r="B380" s="8">
        <f>IF(C380="","",IF(ISNUMBER(MATCH(C380,Insumos!$A:$A,0)),"insumo",IF(ISNUMBER(MATCH(C380,Preparos!$A:$A,0)),"preparo","")))</f>
      </c>
      <c r="C380" s="7"/>
      <c r="D380" s="7"/>
      <c r="E380" s="8">
        <f>IF(C380="","",IFERROR(VLOOKUP(C380,Insumos!$A:$I,9,FALSE),IFERROR(VLOOKUP(C380,Preparos!$A:$D,4,FALSE),"")))</f>
      </c>
      <c r="F380" s="8">
        <f>IF(C380="","",IFERROR(VLOOKUP(C380,Insumos!$A:$G,7,FALSE),100))</f>
      </c>
      <c r="G380" s="9">
        <f>IF(C380="","",IFERROR(VLOOKUP(C380,Insumos!$A:$J,10,FALSE),IFERROR(VLOOKUP(C380,Preparos!$A:$F,6,FALSE),0)))</f>
      </c>
      <c r="H380" s="10">
        <f>IF(OR(D380="",G380="",F380=0),"",D380*G380*(100/F380))</f>
      </c>
      <c r="I380" s="5"/>
    </row>
    <row r="381" spans="1:9" x14ac:dyDescent="0.25">
      <c r="A381" s="7"/>
      <c r="B381" s="8">
        <f>IF(C381="","",IF(ISNUMBER(MATCH(C381,Insumos!$A:$A,0)),"insumo",IF(ISNUMBER(MATCH(C381,Preparos!$A:$A,0)),"preparo","")))</f>
      </c>
      <c r="C381" s="7"/>
      <c r="D381" s="7"/>
      <c r="E381" s="8">
        <f>IF(C381="","",IFERROR(VLOOKUP(C381,Insumos!$A:$I,9,FALSE),IFERROR(VLOOKUP(C381,Preparos!$A:$D,4,FALSE),"")))</f>
      </c>
      <c r="F381" s="8">
        <f>IF(C381="","",IFERROR(VLOOKUP(C381,Insumos!$A:$G,7,FALSE),100))</f>
      </c>
      <c r="G381" s="9">
        <f>IF(C381="","",IFERROR(VLOOKUP(C381,Insumos!$A:$J,10,FALSE),IFERROR(VLOOKUP(C381,Preparos!$A:$F,6,FALSE),0)))</f>
      </c>
      <c r="H381" s="10">
        <f>IF(OR(D381="",G381="",F381=0),"",D381*G381*(100/F381))</f>
      </c>
      <c r="I381" s="5"/>
    </row>
    <row r="382" spans="1:9" x14ac:dyDescent="0.25">
      <c r="A382" s="7"/>
      <c r="B382" s="8">
        <f>IF(C382="","",IF(ISNUMBER(MATCH(C382,Insumos!$A:$A,0)),"insumo",IF(ISNUMBER(MATCH(C382,Preparos!$A:$A,0)),"preparo","")))</f>
      </c>
      <c r="C382" s="7"/>
      <c r="D382" s="7"/>
      <c r="E382" s="8">
        <f>IF(C382="","",IFERROR(VLOOKUP(C382,Insumos!$A:$I,9,FALSE),IFERROR(VLOOKUP(C382,Preparos!$A:$D,4,FALSE),"")))</f>
      </c>
      <c r="F382" s="8">
        <f>IF(C382="","",IFERROR(VLOOKUP(C382,Insumos!$A:$G,7,FALSE),100))</f>
      </c>
      <c r="G382" s="9">
        <f>IF(C382="","",IFERROR(VLOOKUP(C382,Insumos!$A:$J,10,FALSE),IFERROR(VLOOKUP(C382,Preparos!$A:$F,6,FALSE),0)))</f>
      </c>
      <c r="H382" s="10">
        <f>IF(OR(D382="",G382="",F382=0),"",D382*G382*(100/F382))</f>
      </c>
      <c r="I382" s="5"/>
    </row>
    <row r="383" spans="1:9" x14ac:dyDescent="0.25">
      <c r="A383" s="7"/>
      <c r="B383" s="8">
        <f>IF(C383="","",IF(ISNUMBER(MATCH(C383,Insumos!$A:$A,0)),"insumo",IF(ISNUMBER(MATCH(C383,Preparos!$A:$A,0)),"preparo","")))</f>
      </c>
      <c r="C383" s="7"/>
      <c r="D383" s="7"/>
      <c r="E383" s="8">
        <f>IF(C383="","",IFERROR(VLOOKUP(C383,Insumos!$A:$I,9,FALSE),IFERROR(VLOOKUP(C383,Preparos!$A:$D,4,FALSE),"")))</f>
      </c>
      <c r="F383" s="8">
        <f>IF(C383="","",IFERROR(VLOOKUP(C383,Insumos!$A:$G,7,FALSE),100))</f>
      </c>
      <c r="G383" s="9">
        <f>IF(C383="","",IFERROR(VLOOKUP(C383,Insumos!$A:$J,10,FALSE),IFERROR(VLOOKUP(C383,Preparos!$A:$F,6,FALSE),0)))</f>
      </c>
      <c r="H383" s="10">
        <f>IF(OR(D383="",G383="",F383=0),"",D383*G383*(100/F383))</f>
      </c>
      <c r="I383" s="5"/>
    </row>
    <row r="384" spans="1:9" x14ac:dyDescent="0.25">
      <c r="A384" s="7"/>
      <c r="B384" s="8">
        <f>IF(C384="","",IF(ISNUMBER(MATCH(C384,Insumos!$A:$A,0)),"insumo",IF(ISNUMBER(MATCH(C384,Preparos!$A:$A,0)),"preparo","")))</f>
      </c>
      <c r="C384" s="7"/>
      <c r="D384" s="7"/>
      <c r="E384" s="8">
        <f>IF(C384="","",IFERROR(VLOOKUP(C384,Insumos!$A:$I,9,FALSE),IFERROR(VLOOKUP(C384,Preparos!$A:$D,4,FALSE),"")))</f>
      </c>
      <c r="F384" s="8">
        <f>IF(C384="","",IFERROR(VLOOKUP(C384,Insumos!$A:$G,7,FALSE),100))</f>
      </c>
      <c r="G384" s="9">
        <f>IF(C384="","",IFERROR(VLOOKUP(C384,Insumos!$A:$J,10,FALSE),IFERROR(VLOOKUP(C384,Preparos!$A:$F,6,FALSE),0)))</f>
      </c>
      <c r="H384" s="10">
        <f>IF(OR(D384="",G384="",F384=0),"",D384*G384*(100/F384))</f>
      </c>
      <c r="I384" s="5"/>
    </row>
    <row r="385" spans="1:9" x14ac:dyDescent="0.25">
      <c r="A385" s="7"/>
      <c r="B385" s="8">
        <f>IF(C385="","",IF(ISNUMBER(MATCH(C385,Insumos!$A:$A,0)),"insumo",IF(ISNUMBER(MATCH(C385,Preparos!$A:$A,0)),"preparo","")))</f>
      </c>
      <c r="C385" s="7"/>
      <c r="D385" s="7"/>
      <c r="E385" s="8">
        <f>IF(C385="","",IFERROR(VLOOKUP(C385,Insumos!$A:$I,9,FALSE),IFERROR(VLOOKUP(C385,Preparos!$A:$D,4,FALSE),"")))</f>
      </c>
      <c r="F385" s="8">
        <f>IF(C385="","",IFERROR(VLOOKUP(C385,Insumos!$A:$G,7,FALSE),100))</f>
      </c>
      <c r="G385" s="9">
        <f>IF(C385="","",IFERROR(VLOOKUP(C385,Insumos!$A:$J,10,FALSE),IFERROR(VLOOKUP(C385,Preparos!$A:$F,6,FALSE),0)))</f>
      </c>
      <c r="H385" s="10">
        <f>IF(OR(D385="",G385="",F385=0),"",D385*G385*(100/F385))</f>
      </c>
      <c r="I385" s="5"/>
    </row>
    <row r="386" spans="1:9" x14ac:dyDescent="0.25">
      <c r="A386" s="7"/>
      <c r="B386" s="8">
        <f>IF(C386="","",IF(ISNUMBER(MATCH(C386,Insumos!$A:$A,0)),"insumo",IF(ISNUMBER(MATCH(C386,Preparos!$A:$A,0)),"preparo","")))</f>
      </c>
      <c r="C386" s="7"/>
      <c r="D386" s="7"/>
      <c r="E386" s="8">
        <f>IF(C386="","",IFERROR(VLOOKUP(C386,Insumos!$A:$I,9,FALSE),IFERROR(VLOOKUP(C386,Preparos!$A:$D,4,FALSE),"")))</f>
      </c>
      <c r="F386" s="8">
        <f>IF(C386="","",IFERROR(VLOOKUP(C386,Insumos!$A:$G,7,FALSE),100))</f>
      </c>
      <c r="G386" s="9">
        <f>IF(C386="","",IFERROR(VLOOKUP(C386,Insumos!$A:$J,10,FALSE),IFERROR(VLOOKUP(C386,Preparos!$A:$F,6,FALSE),0)))</f>
      </c>
      <c r="H386" s="10">
        <f>IF(OR(D386="",G386="",F386=0),"",D386*G386*(100/F386))</f>
      </c>
      <c r="I386" s="5"/>
    </row>
    <row r="387" spans="1:9" x14ac:dyDescent="0.25">
      <c r="A387" s="7"/>
      <c r="B387" s="8">
        <f>IF(C387="","",IF(ISNUMBER(MATCH(C387,Insumos!$A:$A,0)),"insumo",IF(ISNUMBER(MATCH(C387,Preparos!$A:$A,0)),"preparo","")))</f>
      </c>
      <c r="C387" s="7"/>
      <c r="D387" s="7"/>
      <c r="E387" s="8">
        <f>IF(C387="","",IFERROR(VLOOKUP(C387,Insumos!$A:$I,9,FALSE),IFERROR(VLOOKUP(C387,Preparos!$A:$D,4,FALSE),"")))</f>
      </c>
      <c r="F387" s="8">
        <f>IF(C387="","",IFERROR(VLOOKUP(C387,Insumos!$A:$G,7,FALSE),100))</f>
      </c>
      <c r="G387" s="9">
        <f>IF(C387="","",IFERROR(VLOOKUP(C387,Insumos!$A:$J,10,FALSE),IFERROR(VLOOKUP(C387,Preparos!$A:$F,6,FALSE),0)))</f>
      </c>
      <c r="H387" s="10">
        <f>IF(OR(D387="",G387="",F387=0),"",D387*G387*(100/F387))</f>
      </c>
      <c r="I387" s="5"/>
    </row>
    <row r="388" spans="1:9" x14ac:dyDescent="0.25">
      <c r="A388" s="7"/>
      <c r="B388" s="8">
        <f>IF(C388="","",IF(ISNUMBER(MATCH(C388,Insumos!$A:$A,0)),"insumo",IF(ISNUMBER(MATCH(C388,Preparos!$A:$A,0)),"preparo","")))</f>
      </c>
      <c r="C388" s="7"/>
      <c r="D388" s="7"/>
      <c r="E388" s="8">
        <f>IF(C388="","",IFERROR(VLOOKUP(C388,Insumos!$A:$I,9,FALSE),IFERROR(VLOOKUP(C388,Preparos!$A:$D,4,FALSE),"")))</f>
      </c>
      <c r="F388" s="8">
        <f>IF(C388="","",IFERROR(VLOOKUP(C388,Insumos!$A:$G,7,FALSE),100))</f>
      </c>
      <c r="G388" s="9">
        <f>IF(C388="","",IFERROR(VLOOKUP(C388,Insumos!$A:$J,10,FALSE),IFERROR(VLOOKUP(C388,Preparos!$A:$F,6,FALSE),0)))</f>
      </c>
      <c r="H388" s="10">
        <f>IF(OR(D388="",G388="",F388=0),"",D388*G388*(100/F388))</f>
      </c>
      <c r="I388" s="5"/>
    </row>
    <row r="389" spans="1:9" x14ac:dyDescent="0.25">
      <c r="A389" s="7"/>
      <c r="B389" s="8">
        <f>IF(C389="","",IF(ISNUMBER(MATCH(C389,Insumos!$A:$A,0)),"insumo",IF(ISNUMBER(MATCH(C389,Preparos!$A:$A,0)),"preparo","")))</f>
      </c>
      <c r="C389" s="7"/>
      <c r="D389" s="7"/>
      <c r="E389" s="8">
        <f>IF(C389="","",IFERROR(VLOOKUP(C389,Insumos!$A:$I,9,FALSE),IFERROR(VLOOKUP(C389,Preparos!$A:$D,4,FALSE),"")))</f>
      </c>
      <c r="F389" s="8">
        <f>IF(C389="","",IFERROR(VLOOKUP(C389,Insumos!$A:$G,7,FALSE),100))</f>
      </c>
      <c r="G389" s="9">
        <f>IF(C389="","",IFERROR(VLOOKUP(C389,Insumos!$A:$J,10,FALSE),IFERROR(VLOOKUP(C389,Preparos!$A:$F,6,FALSE),0)))</f>
      </c>
      <c r="H389" s="10">
        <f>IF(OR(D389="",G389="",F389=0),"",D389*G389*(100/F389))</f>
      </c>
      <c r="I389" s="5"/>
    </row>
    <row r="390" spans="1:9" x14ac:dyDescent="0.25">
      <c r="A390" s="7"/>
      <c r="B390" s="8">
        <f>IF(C390="","",IF(ISNUMBER(MATCH(C390,Insumos!$A:$A,0)),"insumo",IF(ISNUMBER(MATCH(C390,Preparos!$A:$A,0)),"preparo","")))</f>
      </c>
      <c r="C390" s="7"/>
      <c r="D390" s="7"/>
      <c r="E390" s="8">
        <f>IF(C390="","",IFERROR(VLOOKUP(C390,Insumos!$A:$I,9,FALSE),IFERROR(VLOOKUP(C390,Preparos!$A:$D,4,FALSE),"")))</f>
      </c>
      <c r="F390" s="8">
        <f>IF(C390="","",IFERROR(VLOOKUP(C390,Insumos!$A:$G,7,FALSE),100))</f>
      </c>
      <c r="G390" s="9">
        <f>IF(C390="","",IFERROR(VLOOKUP(C390,Insumos!$A:$J,10,FALSE),IFERROR(VLOOKUP(C390,Preparos!$A:$F,6,FALSE),0)))</f>
      </c>
      <c r="H390" s="10">
        <f>IF(OR(D390="",G390="",F390=0),"",D390*G390*(100/F390))</f>
      </c>
      <c r="I390" s="5"/>
    </row>
    <row r="391" spans="1:9" x14ac:dyDescent="0.25">
      <c r="A391" s="7"/>
      <c r="B391" s="8">
        <f>IF(C391="","",IF(ISNUMBER(MATCH(C391,Insumos!$A:$A,0)),"insumo",IF(ISNUMBER(MATCH(C391,Preparos!$A:$A,0)),"preparo","")))</f>
      </c>
      <c r="C391" s="7"/>
      <c r="D391" s="7"/>
      <c r="E391" s="8">
        <f>IF(C391="","",IFERROR(VLOOKUP(C391,Insumos!$A:$I,9,FALSE),IFERROR(VLOOKUP(C391,Preparos!$A:$D,4,FALSE),"")))</f>
      </c>
      <c r="F391" s="8">
        <f>IF(C391="","",IFERROR(VLOOKUP(C391,Insumos!$A:$G,7,FALSE),100))</f>
      </c>
      <c r="G391" s="9">
        <f>IF(C391="","",IFERROR(VLOOKUP(C391,Insumos!$A:$J,10,FALSE),IFERROR(VLOOKUP(C391,Preparos!$A:$F,6,FALSE),0)))</f>
      </c>
      <c r="H391" s="10">
        <f>IF(OR(D391="",G391="",F391=0),"",D391*G391*(100/F391))</f>
      </c>
      <c r="I391" s="5"/>
    </row>
    <row r="392" spans="1:9" x14ac:dyDescent="0.25">
      <c r="A392" s="7"/>
      <c r="B392" s="8">
        <f>IF(C392="","",IF(ISNUMBER(MATCH(C392,Insumos!$A:$A,0)),"insumo",IF(ISNUMBER(MATCH(C392,Preparos!$A:$A,0)),"preparo","")))</f>
      </c>
      <c r="C392" s="7"/>
      <c r="D392" s="7"/>
      <c r="E392" s="8">
        <f>IF(C392="","",IFERROR(VLOOKUP(C392,Insumos!$A:$I,9,FALSE),IFERROR(VLOOKUP(C392,Preparos!$A:$D,4,FALSE),"")))</f>
      </c>
      <c r="F392" s="8">
        <f>IF(C392="","",IFERROR(VLOOKUP(C392,Insumos!$A:$G,7,FALSE),100))</f>
      </c>
      <c r="G392" s="9">
        <f>IF(C392="","",IFERROR(VLOOKUP(C392,Insumos!$A:$J,10,FALSE),IFERROR(VLOOKUP(C392,Preparos!$A:$F,6,FALSE),0)))</f>
      </c>
      <c r="H392" s="10">
        <f>IF(OR(D392="",G392="",F392=0),"",D392*G392*(100/F392))</f>
      </c>
      <c r="I392" s="5"/>
    </row>
    <row r="393" spans="1:9" x14ac:dyDescent="0.25">
      <c r="A393" s="7"/>
      <c r="B393" s="8">
        <f>IF(C393="","",IF(ISNUMBER(MATCH(C393,Insumos!$A:$A,0)),"insumo",IF(ISNUMBER(MATCH(C393,Preparos!$A:$A,0)),"preparo","")))</f>
      </c>
      <c r="C393" s="7"/>
      <c r="D393" s="7"/>
      <c r="E393" s="8">
        <f>IF(C393="","",IFERROR(VLOOKUP(C393,Insumos!$A:$I,9,FALSE),IFERROR(VLOOKUP(C393,Preparos!$A:$D,4,FALSE),"")))</f>
      </c>
      <c r="F393" s="8">
        <f>IF(C393="","",IFERROR(VLOOKUP(C393,Insumos!$A:$G,7,FALSE),100))</f>
      </c>
      <c r="G393" s="9">
        <f>IF(C393="","",IFERROR(VLOOKUP(C393,Insumos!$A:$J,10,FALSE),IFERROR(VLOOKUP(C393,Preparos!$A:$F,6,FALSE),0)))</f>
      </c>
      <c r="H393" s="10">
        <f>IF(OR(D393="",G393="",F393=0),"",D393*G393*(100/F393))</f>
      </c>
      <c r="I393" s="5"/>
    </row>
    <row r="394" spans="1:9" x14ac:dyDescent="0.25">
      <c r="A394" s="7"/>
      <c r="B394" s="8">
        <f>IF(C394="","",IF(ISNUMBER(MATCH(C394,Insumos!$A:$A,0)),"insumo",IF(ISNUMBER(MATCH(C394,Preparos!$A:$A,0)),"preparo","")))</f>
      </c>
      <c r="C394" s="7"/>
      <c r="D394" s="7"/>
      <c r="E394" s="8">
        <f>IF(C394="","",IFERROR(VLOOKUP(C394,Insumos!$A:$I,9,FALSE),IFERROR(VLOOKUP(C394,Preparos!$A:$D,4,FALSE),"")))</f>
      </c>
      <c r="F394" s="8">
        <f>IF(C394="","",IFERROR(VLOOKUP(C394,Insumos!$A:$G,7,FALSE),100))</f>
      </c>
      <c r="G394" s="9">
        <f>IF(C394="","",IFERROR(VLOOKUP(C394,Insumos!$A:$J,10,FALSE),IFERROR(VLOOKUP(C394,Preparos!$A:$F,6,FALSE),0)))</f>
      </c>
      <c r="H394" s="10">
        <f>IF(OR(D394="",G394="",F394=0),"",D394*G394*(100/F394))</f>
      </c>
      <c r="I394" s="5"/>
    </row>
    <row r="395" spans="1:9" x14ac:dyDescent="0.25">
      <c r="A395" s="7"/>
      <c r="B395" s="8">
        <f>IF(C395="","",IF(ISNUMBER(MATCH(C395,Insumos!$A:$A,0)),"insumo",IF(ISNUMBER(MATCH(C395,Preparos!$A:$A,0)),"preparo","")))</f>
      </c>
      <c r="C395" s="7"/>
      <c r="D395" s="7"/>
      <c r="E395" s="8">
        <f>IF(C395="","",IFERROR(VLOOKUP(C395,Insumos!$A:$I,9,FALSE),IFERROR(VLOOKUP(C395,Preparos!$A:$D,4,FALSE),"")))</f>
      </c>
      <c r="F395" s="8">
        <f>IF(C395="","",IFERROR(VLOOKUP(C395,Insumos!$A:$G,7,FALSE),100))</f>
      </c>
      <c r="G395" s="9">
        <f>IF(C395="","",IFERROR(VLOOKUP(C395,Insumos!$A:$J,10,FALSE),IFERROR(VLOOKUP(C395,Preparos!$A:$F,6,FALSE),0)))</f>
      </c>
      <c r="H395" s="10">
        <f>IF(OR(D395="",G395="",F395=0),"",D395*G395*(100/F395))</f>
      </c>
      <c r="I395" s="5"/>
    </row>
    <row r="396" spans="1:9" x14ac:dyDescent="0.25">
      <c r="A396" s="7"/>
      <c r="B396" s="8">
        <f>IF(C396="","",IF(ISNUMBER(MATCH(C396,Insumos!$A:$A,0)),"insumo",IF(ISNUMBER(MATCH(C396,Preparos!$A:$A,0)),"preparo","")))</f>
      </c>
      <c r="C396" s="7"/>
      <c r="D396" s="7"/>
      <c r="E396" s="8">
        <f>IF(C396="","",IFERROR(VLOOKUP(C396,Insumos!$A:$I,9,FALSE),IFERROR(VLOOKUP(C396,Preparos!$A:$D,4,FALSE),"")))</f>
      </c>
      <c r="F396" s="8">
        <f>IF(C396="","",IFERROR(VLOOKUP(C396,Insumos!$A:$G,7,FALSE),100))</f>
      </c>
      <c r="G396" s="9">
        <f>IF(C396="","",IFERROR(VLOOKUP(C396,Insumos!$A:$J,10,FALSE),IFERROR(VLOOKUP(C396,Preparos!$A:$F,6,FALSE),0)))</f>
      </c>
      <c r="H396" s="10">
        <f>IF(OR(D396="",G396="",F396=0),"",D396*G396*(100/F396))</f>
      </c>
      <c r="I396" s="5"/>
    </row>
    <row r="397" spans="1:9" x14ac:dyDescent="0.25">
      <c r="A397" s="7"/>
      <c r="B397" s="8">
        <f>IF(C397="","",IF(ISNUMBER(MATCH(C397,Insumos!$A:$A,0)),"insumo",IF(ISNUMBER(MATCH(C397,Preparos!$A:$A,0)),"preparo","")))</f>
      </c>
      <c r="C397" s="7"/>
      <c r="D397" s="7"/>
      <c r="E397" s="8">
        <f>IF(C397="","",IFERROR(VLOOKUP(C397,Insumos!$A:$I,9,FALSE),IFERROR(VLOOKUP(C397,Preparos!$A:$D,4,FALSE),"")))</f>
      </c>
      <c r="F397" s="8">
        <f>IF(C397="","",IFERROR(VLOOKUP(C397,Insumos!$A:$G,7,FALSE),100))</f>
      </c>
      <c r="G397" s="9">
        <f>IF(C397="","",IFERROR(VLOOKUP(C397,Insumos!$A:$J,10,FALSE),IFERROR(VLOOKUP(C397,Preparos!$A:$F,6,FALSE),0)))</f>
      </c>
      <c r="H397" s="10">
        <f>IF(OR(D397="",G397="",F397=0),"",D397*G397*(100/F397))</f>
      </c>
      <c r="I397" s="5"/>
    </row>
    <row r="398" spans="1:9" x14ac:dyDescent="0.25">
      <c r="A398" s="7"/>
      <c r="B398" s="8">
        <f>IF(C398="","",IF(ISNUMBER(MATCH(C398,Insumos!$A:$A,0)),"insumo",IF(ISNUMBER(MATCH(C398,Preparos!$A:$A,0)),"preparo","")))</f>
      </c>
      <c r="C398" s="7"/>
      <c r="D398" s="7"/>
      <c r="E398" s="8">
        <f>IF(C398="","",IFERROR(VLOOKUP(C398,Insumos!$A:$I,9,FALSE),IFERROR(VLOOKUP(C398,Preparos!$A:$D,4,FALSE),"")))</f>
      </c>
      <c r="F398" s="8">
        <f>IF(C398="","",IFERROR(VLOOKUP(C398,Insumos!$A:$G,7,FALSE),100))</f>
      </c>
      <c r="G398" s="9">
        <f>IF(C398="","",IFERROR(VLOOKUP(C398,Insumos!$A:$J,10,FALSE),IFERROR(VLOOKUP(C398,Preparos!$A:$F,6,FALSE),0)))</f>
      </c>
      <c r="H398" s="10">
        <f>IF(OR(D398="",G398="",F398=0),"",D398*G398*(100/F398))</f>
      </c>
      <c r="I398" s="5"/>
    </row>
    <row r="399" spans="1:9" x14ac:dyDescent="0.25">
      <c r="A399" s="7"/>
      <c r="B399" s="8">
        <f>IF(C399="","",IF(ISNUMBER(MATCH(C399,Insumos!$A:$A,0)),"insumo",IF(ISNUMBER(MATCH(C399,Preparos!$A:$A,0)),"preparo","")))</f>
      </c>
      <c r="C399" s="7"/>
      <c r="D399" s="7"/>
      <c r="E399" s="8">
        <f>IF(C399="","",IFERROR(VLOOKUP(C399,Insumos!$A:$I,9,FALSE),IFERROR(VLOOKUP(C399,Preparos!$A:$D,4,FALSE),"")))</f>
      </c>
      <c r="F399" s="8">
        <f>IF(C399="","",IFERROR(VLOOKUP(C399,Insumos!$A:$G,7,FALSE),100))</f>
      </c>
      <c r="G399" s="9">
        <f>IF(C399="","",IFERROR(VLOOKUP(C399,Insumos!$A:$J,10,FALSE),IFERROR(VLOOKUP(C399,Preparos!$A:$F,6,FALSE),0)))</f>
      </c>
      <c r="H399" s="10">
        <f>IF(OR(D399="",G399="",F399=0),"",D399*G399*(100/F399))</f>
      </c>
      <c r="I399" s="5"/>
    </row>
    <row r="400" spans="1:9" x14ac:dyDescent="0.25">
      <c r="A400" s="7"/>
      <c r="B400" s="8">
        <f>IF(C400="","",IF(ISNUMBER(MATCH(C400,Insumos!$A:$A,0)),"insumo",IF(ISNUMBER(MATCH(C400,Preparos!$A:$A,0)),"preparo","")))</f>
      </c>
      <c r="C400" s="7"/>
      <c r="D400" s="7"/>
      <c r="E400" s="8">
        <f>IF(C400="","",IFERROR(VLOOKUP(C400,Insumos!$A:$I,9,FALSE),IFERROR(VLOOKUP(C400,Preparos!$A:$D,4,FALSE),"")))</f>
      </c>
      <c r="F400" s="8">
        <f>IF(C400="","",IFERROR(VLOOKUP(C400,Insumos!$A:$G,7,FALSE),100))</f>
      </c>
      <c r="G400" s="9">
        <f>IF(C400="","",IFERROR(VLOOKUP(C400,Insumos!$A:$J,10,FALSE),IFERROR(VLOOKUP(C400,Preparos!$A:$F,6,FALSE),0)))</f>
      </c>
      <c r="H400" s="10">
        <f>IF(OR(D400="",G400="",F400=0),"",D400*G400*(100/F400))</f>
      </c>
      <c r="I400" s="5"/>
    </row>
    <row r="401" spans="1:9" x14ac:dyDescent="0.25">
      <c r="A401" s="7"/>
      <c r="B401" s="8">
        <f>IF(C401="","",IF(ISNUMBER(MATCH(C401,Insumos!$A:$A,0)),"insumo",IF(ISNUMBER(MATCH(C401,Preparos!$A:$A,0)),"preparo","")))</f>
      </c>
      <c r="C401" s="7"/>
      <c r="D401" s="7"/>
      <c r="E401" s="8">
        <f>IF(C401="","",IFERROR(VLOOKUP(C401,Insumos!$A:$I,9,FALSE),IFERROR(VLOOKUP(C401,Preparos!$A:$D,4,FALSE),"")))</f>
      </c>
      <c r="F401" s="8">
        <f>IF(C401="","",IFERROR(VLOOKUP(C401,Insumos!$A:$G,7,FALSE),100))</f>
      </c>
      <c r="G401" s="9">
        <f>IF(C401="","",IFERROR(VLOOKUP(C401,Insumos!$A:$J,10,FALSE),IFERROR(VLOOKUP(C401,Preparos!$A:$F,6,FALSE),0)))</f>
      </c>
      <c r="H401" s="10">
        <f>IF(OR(D401="",G401="",F401=0),"",D401*G401*(100/F401))</f>
      </c>
      <c r="I401" s="5"/>
    </row>
    <row r="402" spans="1:9" x14ac:dyDescent="0.25">
      <c r="A402" s="7"/>
      <c r="B402" s="8">
        <f>IF(C402="","",IF(ISNUMBER(MATCH(C402,Insumos!$A:$A,0)),"insumo",IF(ISNUMBER(MATCH(C402,Preparos!$A:$A,0)),"preparo","")))</f>
      </c>
      <c r="C402" s="7"/>
      <c r="D402" s="7"/>
      <c r="E402" s="8">
        <f>IF(C402="","",IFERROR(VLOOKUP(C402,Insumos!$A:$I,9,FALSE),IFERROR(VLOOKUP(C402,Preparos!$A:$D,4,FALSE),"")))</f>
      </c>
      <c r="F402" s="8">
        <f>IF(C402="","",IFERROR(VLOOKUP(C402,Insumos!$A:$G,7,FALSE),100))</f>
      </c>
      <c r="G402" s="9">
        <f>IF(C402="","",IFERROR(VLOOKUP(C402,Insumos!$A:$J,10,FALSE),IFERROR(VLOOKUP(C402,Preparos!$A:$F,6,FALSE),0)))</f>
      </c>
      <c r="H402" s="10">
        <f>IF(OR(D402="",G402="",F402=0),"",D402*G402*(100/F402))</f>
      </c>
      <c r="I402" s="5"/>
    </row>
    <row r="403" spans="1:9" x14ac:dyDescent="0.25">
      <c r="A403" s="7"/>
      <c r="B403" s="8">
        <f>IF(C403="","",IF(ISNUMBER(MATCH(C403,Insumos!$A:$A,0)),"insumo",IF(ISNUMBER(MATCH(C403,Preparos!$A:$A,0)),"preparo","")))</f>
      </c>
      <c r="C403" s="7"/>
      <c r="D403" s="7"/>
      <c r="E403" s="8">
        <f>IF(C403="","",IFERROR(VLOOKUP(C403,Insumos!$A:$I,9,FALSE),IFERROR(VLOOKUP(C403,Preparos!$A:$D,4,FALSE),"")))</f>
      </c>
      <c r="F403" s="8">
        <f>IF(C403="","",IFERROR(VLOOKUP(C403,Insumos!$A:$G,7,FALSE),100))</f>
      </c>
      <c r="G403" s="9">
        <f>IF(C403="","",IFERROR(VLOOKUP(C403,Insumos!$A:$J,10,FALSE),IFERROR(VLOOKUP(C403,Preparos!$A:$F,6,FALSE),0)))</f>
      </c>
      <c r="H403" s="10">
        <f>IF(OR(D403="",G403="",F403=0),"",D403*G403*(100/F403))</f>
      </c>
      <c r="I403" s="5"/>
    </row>
    <row r="404" spans="1:9" x14ac:dyDescent="0.25">
      <c r="A404" s="7"/>
      <c r="B404" s="8">
        <f>IF(C404="","",IF(ISNUMBER(MATCH(C404,Insumos!$A:$A,0)),"insumo",IF(ISNUMBER(MATCH(C404,Preparos!$A:$A,0)),"preparo","")))</f>
      </c>
      <c r="C404" s="7"/>
      <c r="D404" s="7"/>
      <c r="E404" s="8">
        <f>IF(C404="","",IFERROR(VLOOKUP(C404,Insumos!$A:$I,9,FALSE),IFERROR(VLOOKUP(C404,Preparos!$A:$D,4,FALSE),"")))</f>
      </c>
      <c r="F404" s="8">
        <f>IF(C404="","",IFERROR(VLOOKUP(C404,Insumos!$A:$G,7,FALSE),100))</f>
      </c>
      <c r="G404" s="9">
        <f>IF(C404="","",IFERROR(VLOOKUP(C404,Insumos!$A:$J,10,FALSE),IFERROR(VLOOKUP(C404,Preparos!$A:$F,6,FALSE),0)))</f>
      </c>
      <c r="H404" s="10">
        <f>IF(OR(D404="",G404="",F404=0),"",D404*G404*(100/F404))</f>
      </c>
      <c r="I404" s="5"/>
    </row>
    <row r="405" spans="1:9" x14ac:dyDescent="0.25">
      <c r="A405" s="7"/>
      <c r="B405" s="8">
        <f>IF(C405="","",IF(ISNUMBER(MATCH(C405,Insumos!$A:$A,0)),"insumo",IF(ISNUMBER(MATCH(C405,Preparos!$A:$A,0)),"preparo","")))</f>
      </c>
      <c r="C405" s="7"/>
      <c r="D405" s="7"/>
      <c r="E405" s="8">
        <f>IF(C405="","",IFERROR(VLOOKUP(C405,Insumos!$A:$I,9,FALSE),IFERROR(VLOOKUP(C405,Preparos!$A:$D,4,FALSE),"")))</f>
      </c>
      <c r="F405" s="8">
        <f>IF(C405="","",IFERROR(VLOOKUP(C405,Insumos!$A:$G,7,FALSE),100))</f>
      </c>
      <c r="G405" s="9">
        <f>IF(C405="","",IFERROR(VLOOKUP(C405,Insumos!$A:$J,10,FALSE),IFERROR(VLOOKUP(C405,Preparos!$A:$F,6,FALSE),0)))</f>
      </c>
      <c r="H405" s="10">
        <f>IF(OR(D405="",G405="",F405=0),"",D405*G405*(100/F405))</f>
      </c>
      <c r="I405" s="5"/>
    </row>
    <row r="406" spans="1:9" x14ac:dyDescent="0.25">
      <c r="A406" s="7"/>
      <c r="B406" s="8">
        <f>IF(C406="","",IF(ISNUMBER(MATCH(C406,Insumos!$A:$A,0)),"insumo",IF(ISNUMBER(MATCH(C406,Preparos!$A:$A,0)),"preparo","")))</f>
      </c>
      <c r="C406" s="7"/>
      <c r="D406" s="7"/>
      <c r="E406" s="8">
        <f>IF(C406="","",IFERROR(VLOOKUP(C406,Insumos!$A:$I,9,FALSE),IFERROR(VLOOKUP(C406,Preparos!$A:$D,4,FALSE),"")))</f>
      </c>
      <c r="F406" s="8">
        <f>IF(C406="","",IFERROR(VLOOKUP(C406,Insumos!$A:$G,7,FALSE),100))</f>
      </c>
      <c r="G406" s="9">
        <f>IF(C406="","",IFERROR(VLOOKUP(C406,Insumos!$A:$J,10,FALSE),IFERROR(VLOOKUP(C406,Preparos!$A:$F,6,FALSE),0)))</f>
      </c>
      <c r="H406" s="10">
        <f>IF(OR(D406="",G406="",F406=0),"",D406*G406*(100/F406))</f>
      </c>
      <c r="I406" s="5"/>
    </row>
    <row r="407" spans="1:9" x14ac:dyDescent="0.25">
      <c r="A407" s="7"/>
      <c r="B407" s="8">
        <f>IF(C407="","",IF(ISNUMBER(MATCH(C407,Insumos!$A:$A,0)),"insumo",IF(ISNUMBER(MATCH(C407,Preparos!$A:$A,0)),"preparo","")))</f>
      </c>
      <c r="C407" s="7"/>
      <c r="D407" s="7"/>
      <c r="E407" s="8">
        <f>IF(C407="","",IFERROR(VLOOKUP(C407,Insumos!$A:$I,9,FALSE),IFERROR(VLOOKUP(C407,Preparos!$A:$D,4,FALSE),"")))</f>
      </c>
      <c r="F407" s="8">
        <f>IF(C407="","",IFERROR(VLOOKUP(C407,Insumos!$A:$G,7,FALSE),100))</f>
      </c>
      <c r="G407" s="9">
        <f>IF(C407="","",IFERROR(VLOOKUP(C407,Insumos!$A:$J,10,FALSE),IFERROR(VLOOKUP(C407,Preparos!$A:$F,6,FALSE),0)))</f>
      </c>
      <c r="H407" s="10">
        <f>IF(OR(D407="",G407="",F407=0),"",D407*G407*(100/F407))</f>
      </c>
      <c r="I407" s="5"/>
    </row>
    <row r="408" spans="1:9" x14ac:dyDescent="0.25">
      <c r="A408" s="7"/>
      <c r="B408" s="8">
        <f>IF(C408="","",IF(ISNUMBER(MATCH(C408,Insumos!$A:$A,0)),"insumo",IF(ISNUMBER(MATCH(C408,Preparos!$A:$A,0)),"preparo","")))</f>
      </c>
      <c r="C408" s="7"/>
      <c r="D408" s="7"/>
      <c r="E408" s="8">
        <f>IF(C408="","",IFERROR(VLOOKUP(C408,Insumos!$A:$I,9,FALSE),IFERROR(VLOOKUP(C408,Preparos!$A:$D,4,FALSE),"")))</f>
      </c>
      <c r="F408" s="8">
        <f>IF(C408="","",IFERROR(VLOOKUP(C408,Insumos!$A:$G,7,FALSE),100))</f>
      </c>
      <c r="G408" s="9">
        <f>IF(C408="","",IFERROR(VLOOKUP(C408,Insumos!$A:$J,10,FALSE),IFERROR(VLOOKUP(C408,Preparos!$A:$F,6,FALSE),0)))</f>
      </c>
      <c r="H408" s="10">
        <f>IF(OR(D408="",G408="",F408=0),"",D408*G408*(100/F408))</f>
      </c>
      <c r="I408" s="5"/>
    </row>
    <row r="409" spans="1:9" x14ac:dyDescent="0.25">
      <c r="A409" s="7"/>
      <c r="B409" s="8">
        <f>IF(C409="","",IF(ISNUMBER(MATCH(C409,Insumos!$A:$A,0)),"insumo",IF(ISNUMBER(MATCH(C409,Preparos!$A:$A,0)),"preparo","")))</f>
      </c>
      <c r="C409" s="7"/>
      <c r="D409" s="7"/>
      <c r="E409" s="8">
        <f>IF(C409="","",IFERROR(VLOOKUP(C409,Insumos!$A:$I,9,FALSE),IFERROR(VLOOKUP(C409,Preparos!$A:$D,4,FALSE),"")))</f>
      </c>
      <c r="F409" s="8">
        <f>IF(C409="","",IFERROR(VLOOKUP(C409,Insumos!$A:$G,7,FALSE),100))</f>
      </c>
      <c r="G409" s="9">
        <f>IF(C409="","",IFERROR(VLOOKUP(C409,Insumos!$A:$J,10,FALSE),IFERROR(VLOOKUP(C409,Preparos!$A:$F,6,FALSE),0)))</f>
      </c>
      <c r="H409" s="10">
        <f>IF(OR(D409="",G409="",F409=0),"",D409*G409*(100/F409))</f>
      </c>
      <c r="I409" s="5"/>
    </row>
    <row r="410" spans="1:9" x14ac:dyDescent="0.25">
      <c r="A410" s="7"/>
      <c r="B410" s="8">
        <f>IF(C410="","",IF(ISNUMBER(MATCH(C410,Insumos!$A:$A,0)),"insumo",IF(ISNUMBER(MATCH(C410,Preparos!$A:$A,0)),"preparo","")))</f>
      </c>
      <c r="C410" s="7"/>
      <c r="D410" s="7"/>
      <c r="E410" s="8">
        <f>IF(C410="","",IFERROR(VLOOKUP(C410,Insumos!$A:$I,9,FALSE),IFERROR(VLOOKUP(C410,Preparos!$A:$D,4,FALSE),"")))</f>
      </c>
      <c r="F410" s="8">
        <f>IF(C410="","",IFERROR(VLOOKUP(C410,Insumos!$A:$G,7,FALSE),100))</f>
      </c>
      <c r="G410" s="9">
        <f>IF(C410="","",IFERROR(VLOOKUP(C410,Insumos!$A:$J,10,FALSE),IFERROR(VLOOKUP(C410,Preparos!$A:$F,6,FALSE),0)))</f>
      </c>
      <c r="H410" s="10">
        <f>IF(OR(D410="",G410="",F410=0),"",D410*G410*(100/F410))</f>
      </c>
      <c r="I410" s="5"/>
    </row>
    <row r="411" spans="1:9" x14ac:dyDescent="0.25">
      <c r="A411" s="7"/>
      <c r="B411" s="8">
        <f>IF(C411="","",IF(ISNUMBER(MATCH(C411,Insumos!$A:$A,0)),"insumo",IF(ISNUMBER(MATCH(C411,Preparos!$A:$A,0)),"preparo","")))</f>
      </c>
      <c r="C411" s="7"/>
      <c r="D411" s="7"/>
      <c r="E411" s="8">
        <f>IF(C411="","",IFERROR(VLOOKUP(C411,Insumos!$A:$I,9,FALSE),IFERROR(VLOOKUP(C411,Preparos!$A:$D,4,FALSE),"")))</f>
      </c>
      <c r="F411" s="8">
        <f>IF(C411="","",IFERROR(VLOOKUP(C411,Insumos!$A:$G,7,FALSE),100))</f>
      </c>
      <c r="G411" s="9">
        <f>IF(C411="","",IFERROR(VLOOKUP(C411,Insumos!$A:$J,10,FALSE),IFERROR(VLOOKUP(C411,Preparos!$A:$F,6,FALSE),0)))</f>
      </c>
      <c r="H411" s="10">
        <f>IF(OR(D411="",G411="",F411=0),"",D411*G411*(100/F411))</f>
      </c>
      <c r="I411" s="5"/>
    </row>
    <row r="412" spans="1:9" x14ac:dyDescent="0.25">
      <c r="A412" s="7"/>
      <c r="B412" s="8">
        <f>IF(C412="","",IF(ISNUMBER(MATCH(C412,Insumos!$A:$A,0)),"insumo",IF(ISNUMBER(MATCH(C412,Preparos!$A:$A,0)),"preparo","")))</f>
      </c>
      <c r="C412" s="7"/>
      <c r="D412" s="7"/>
      <c r="E412" s="8">
        <f>IF(C412="","",IFERROR(VLOOKUP(C412,Insumos!$A:$I,9,FALSE),IFERROR(VLOOKUP(C412,Preparos!$A:$D,4,FALSE),"")))</f>
      </c>
      <c r="F412" s="8">
        <f>IF(C412="","",IFERROR(VLOOKUP(C412,Insumos!$A:$G,7,FALSE),100))</f>
      </c>
      <c r="G412" s="9">
        <f>IF(C412="","",IFERROR(VLOOKUP(C412,Insumos!$A:$J,10,FALSE),IFERROR(VLOOKUP(C412,Preparos!$A:$F,6,FALSE),0)))</f>
      </c>
      <c r="H412" s="10">
        <f>IF(OR(D412="",G412="",F412=0),"",D412*G412*(100/F412))</f>
      </c>
      <c r="I412" s="5"/>
    </row>
    <row r="413" spans="1:9" x14ac:dyDescent="0.25">
      <c r="A413" s="7"/>
      <c r="B413" s="8">
        <f>IF(C413="","",IF(ISNUMBER(MATCH(C413,Insumos!$A:$A,0)),"insumo",IF(ISNUMBER(MATCH(C413,Preparos!$A:$A,0)),"preparo","")))</f>
      </c>
      <c r="C413" s="7"/>
      <c r="D413" s="7"/>
      <c r="E413" s="8">
        <f>IF(C413="","",IFERROR(VLOOKUP(C413,Insumos!$A:$I,9,FALSE),IFERROR(VLOOKUP(C413,Preparos!$A:$D,4,FALSE),"")))</f>
      </c>
      <c r="F413" s="8">
        <f>IF(C413="","",IFERROR(VLOOKUP(C413,Insumos!$A:$G,7,FALSE),100))</f>
      </c>
      <c r="G413" s="9">
        <f>IF(C413="","",IFERROR(VLOOKUP(C413,Insumos!$A:$J,10,FALSE),IFERROR(VLOOKUP(C413,Preparos!$A:$F,6,FALSE),0)))</f>
      </c>
      <c r="H413" s="10">
        <f>IF(OR(D413="",G413="",F413=0),"",D413*G413*(100/F413))</f>
      </c>
      <c r="I413" s="5"/>
    </row>
    <row r="414" spans="1:9" x14ac:dyDescent="0.25">
      <c r="A414" s="7"/>
      <c r="B414" s="8">
        <f>IF(C414="","",IF(ISNUMBER(MATCH(C414,Insumos!$A:$A,0)),"insumo",IF(ISNUMBER(MATCH(C414,Preparos!$A:$A,0)),"preparo","")))</f>
      </c>
      <c r="C414" s="7"/>
      <c r="D414" s="7"/>
      <c r="E414" s="8">
        <f>IF(C414="","",IFERROR(VLOOKUP(C414,Insumos!$A:$I,9,FALSE),IFERROR(VLOOKUP(C414,Preparos!$A:$D,4,FALSE),"")))</f>
      </c>
      <c r="F414" s="8">
        <f>IF(C414="","",IFERROR(VLOOKUP(C414,Insumos!$A:$G,7,FALSE),100))</f>
      </c>
      <c r="G414" s="9">
        <f>IF(C414="","",IFERROR(VLOOKUP(C414,Insumos!$A:$J,10,FALSE),IFERROR(VLOOKUP(C414,Preparos!$A:$F,6,FALSE),0)))</f>
      </c>
      <c r="H414" s="10">
        <f>IF(OR(D414="",G414="",F414=0),"",D414*G414*(100/F414))</f>
      </c>
      <c r="I414" s="5"/>
    </row>
    <row r="415" spans="1:9" x14ac:dyDescent="0.25">
      <c r="A415" s="7"/>
      <c r="B415" s="8">
        <f>IF(C415="","",IF(ISNUMBER(MATCH(C415,Insumos!$A:$A,0)),"insumo",IF(ISNUMBER(MATCH(C415,Preparos!$A:$A,0)),"preparo","")))</f>
      </c>
      <c r="C415" s="7"/>
      <c r="D415" s="7"/>
      <c r="E415" s="8">
        <f>IF(C415="","",IFERROR(VLOOKUP(C415,Insumos!$A:$I,9,FALSE),IFERROR(VLOOKUP(C415,Preparos!$A:$D,4,FALSE),"")))</f>
      </c>
      <c r="F415" s="8">
        <f>IF(C415="","",IFERROR(VLOOKUP(C415,Insumos!$A:$G,7,FALSE),100))</f>
      </c>
      <c r="G415" s="9">
        <f>IF(C415="","",IFERROR(VLOOKUP(C415,Insumos!$A:$J,10,FALSE),IFERROR(VLOOKUP(C415,Preparos!$A:$F,6,FALSE),0)))</f>
      </c>
      <c r="H415" s="10">
        <f>IF(OR(D415="",G415="",F415=0),"",D415*G415*(100/F415))</f>
      </c>
      <c r="I415" s="5"/>
    </row>
    <row r="416" spans="1:9" x14ac:dyDescent="0.25">
      <c r="A416" s="7"/>
      <c r="B416" s="8">
        <f>IF(C416="","",IF(ISNUMBER(MATCH(C416,Insumos!$A:$A,0)),"insumo",IF(ISNUMBER(MATCH(C416,Preparos!$A:$A,0)),"preparo","")))</f>
      </c>
      <c r="C416" s="7"/>
      <c r="D416" s="7"/>
      <c r="E416" s="8">
        <f>IF(C416="","",IFERROR(VLOOKUP(C416,Insumos!$A:$I,9,FALSE),IFERROR(VLOOKUP(C416,Preparos!$A:$D,4,FALSE),"")))</f>
      </c>
      <c r="F416" s="8">
        <f>IF(C416="","",IFERROR(VLOOKUP(C416,Insumos!$A:$G,7,FALSE),100))</f>
      </c>
      <c r="G416" s="9">
        <f>IF(C416="","",IFERROR(VLOOKUP(C416,Insumos!$A:$J,10,FALSE),IFERROR(VLOOKUP(C416,Preparos!$A:$F,6,FALSE),0)))</f>
      </c>
      <c r="H416" s="10">
        <f>IF(OR(D416="",G416="",F416=0),"",D416*G416*(100/F416))</f>
      </c>
      <c r="I416" s="5"/>
    </row>
    <row r="417" spans="1:9" x14ac:dyDescent="0.25">
      <c r="A417" s="7"/>
      <c r="B417" s="8">
        <f>IF(C417="","",IF(ISNUMBER(MATCH(C417,Insumos!$A:$A,0)),"insumo",IF(ISNUMBER(MATCH(C417,Preparos!$A:$A,0)),"preparo","")))</f>
      </c>
      <c r="C417" s="7"/>
      <c r="D417" s="7"/>
      <c r="E417" s="8">
        <f>IF(C417="","",IFERROR(VLOOKUP(C417,Insumos!$A:$I,9,FALSE),IFERROR(VLOOKUP(C417,Preparos!$A:$D,4,FALSE),"")))</f>
      </c>
      <c r="F417" s="8">
        <f>IF(C417="","",IFERROR(VLOOKUP(C417,Insumos!$A:$G,7,FALSE),100))</f>
      </c>
      <c r="G417" s="9">
        <f>IF(C417="","",IFERROR(VLOOKUP(C417,Insumos!$A:$J,10,FALSE),IFERROR(VLOOKUP(C417,Preparos!$A:$F,6,FALSE),0)))</f>
      </c>
      <c r="H417" s="10">
        <f>IF(OR(D417="",G417="",F417=0),"",D417*G417*(100/F417))</f>
      </c>
      <c r="I417" s="5"/>
    </row>
    <row r="418" spans="1:9" x14ac:dyDescent="0.25">
      <c r="A418" s="7"/>
      <c r="B418" s="8">
        <f>IF(C418="","",IF(ISNUMBER(MATCH(C418,Insumos!$A:$A,0)),"insumo",IF(ISNUMBER(MATCH(C418,Preparos!$A:$A,0)),"preparo","")))</f>
      </c>
      <c r="C418" s="7"/>
      <c r="D418" s="7"/>
      <c r="E418" s="8">
        <f>IF(C418="","",IFERROR(VLOOKUP(C418,Insumos!$A:$I,9,FALSE),IFERROR(VLOOKUP(C418,Preparos!$A:$D,4,FALSE),"")))</f>
      </c>
      <c r="F418" s="8">
        <f>IF(C418="","",IFERROR(VLOOKUP(C418,Insumos!$A:$G,7,FALSE),100))</f>
      </c>
      <c r="G418" s="9">
        <f>IF(C418="","",IFERROR(VLOOKUP(C418,Insumos!$A:$J,10,FALSE),IFERROR(VLOOKUP(C418,Preparos!$A:$F,6,FALSE),0)))</f>
      </c>
      <c r="H418" s="10">
        <f>IF(OR(D418="",G418="",F418=0),"",D418*G418*(100/F418))</f>
      </c>
      <c r="I418" s="5"/>
    </row>
    <row r="419" spans="1:9" x14ac:dyDescent="0.25">
      <c r="A419" s="7"/>
      <c r="B419" s="8">
        <f>IF(C419="","",IF(ISNUMBER(MATCH(C419,Insumos!$A:$A,0)),"insumo",IF(ISNUMBER(MATCH(C419,Preparos!$A:$A,0)),"preparo","")))</f>
      </c>
      <c r="C419" s="7"/>
      <c r="D419" s="7"/>
      <c r="E419" s="8">
        <f>IF(C419="","",IFERROR(VLOOKUP(C419,Insumos!$A:$I,9,FALSE),IFERROR(VLOOKUP(C419,Preparos!$A:$D,4,FALSE),"")))</f>
      </c>
      <c r="F419" s="8">
        <f>IF(C419="","",IFERROR(VLOOKUP(C419,Insumos!$A:$G,7,FALSE),100))</f>
      </c>
      <c r="G419" s="9">
        <f>IF(C419="","",IFERROR(VLOOKUP(C419,Insumos!$A:$J,10,FALSE),IFERROR(VLOOKUP(C419,Preparos!$A:$F,6,FALSE),0)))</f>
      </c>
      <c r="H419" s="10">
        <f>IF(OR(D419="",G419="",F419=0),"",D419*G419*(100/F419))</f>
      </c>
      <c r="I419" s="5"/>
    </row>
    <row r="420" spans="1:9" x14ac:dyDescent="0.25">
      <c r="A420" s="7"/>
      <c r="B420" s="8">
        <f>IF(C420="","",IF(ISNUMBER(MATCH(C420,Insumos!$A:$A,0)),"insumo",IF(ISNUMBER(MATCH(C420,Preparos!$A:$A,0)),"preparo","")))</f>
      </c>
      <c r="C420" s="7"/>
      <c r="D420" s="7"/>
      <c r="E420" s="8">
        <f>IF(C420="","",IFERROR(VLOOKUP(C420,Insumos!$A:$I,9,FALSE),IFERROR(VLOOKUP(C420,Preparos!$A:$D,4,FALSE),"")))</f>
      </c>
      <c r="F420" s="8">
        <f>IF(C420="","",IFERROR(VLOOKUP(C420,Insumos!$A:$G,7,FALSE),100))</f>
      </c>
      <c r="G420" s="9">
        <f>IF(C420="","",IFERROR(VLOOKUP(C420,Insumos!$A:$J,10,FALSE),IFERROR(VLOOKUP(C420,Preparos!$A:$F,6,FALSE),0)))</f>
      </c>
      <c r="H420" s="10">
        <f>IF(OR(D420="",G420="",F420=0),"",D420*G420*(100/F420))</f>
      </c>
      <c r="I420" s="5"/>
    </row>
    <row r="421" spans="1:9" x14ac:dyDescent="0.25">
      <c r="A421" s="7"/>
      <c r="B421" s="8">
        <f>IF(C421="","",IF(ISNUMBER(MATCH(C421,Insumos!$A:$A,0)),"insumo",IF(ISNUMBER(MATCH(C421,Preparos!$A:$A,0)),"preparo","")))</f>
      </c>
      <c r="C421" s="7"/>
      <c r="D421" s="7"/>
      <c r="E421" s="8">
        <f>IF(C421="","",IFERROR(VLOOKUP(C421,Insumos!$A:$I,9,FALSE),IFERROR(VLOOKUP(C421,Preparos!$A:$D,4,FALSE),"")))</f>
      </c>
      <c r="F421" s="8">
        <f>IF(C421="","",IFERROR(VLOOKUP(C421,Insumos!$A:$G,7,FALSE),100))</f>
      </c>
      <c r="G421" s="9">
        <f>IF(C421="","",IFERROR(VLOOKUP(C421,Insumos!$A:$J,10,FALSE),IFERROR(VLOOKUP(C421,Preparos!$A:$F,6,FALSE),0)))</f>
      </c>
      <c r="H421" s="10">
        <f>IF(OR(D421="",G421="",F421=0),"",D421*G421*(100/F421))</f>
      </c>
      <c r="I421" s="5"/>
    </row>
    <row r="422" spans="1:9" x14ac:dyDescent="0.25">
      <c r="A422" s="7"/>
      <c r="B422" s="8">
        <f>IF(C422="","",IF(ISNUMBER(MATCH(C422,Insumos!$A:$A,0)),"insumo",IF(ISNUMBER(MATCH(C422,Preparos!$A:$A,0)),"preparo","")))</f>
      </c>
      <c r="C422" s="7"/>
      <c r="D422" s="7"/>
      <c r="E422" s="8">
        <f>IF(C422="","",IFERROR(VLOOKUP(C422,Insumos!$A:$I,9,FALSE),IFERROR(VLOOKUP(C422,Preparos!$A:$D,4,FALSE),"")))</f>
      </c>
      <c r="F422" s="8">
        <f>IF(C422="","",IFERROR(VLOOKUP(C422,Insumos!$A:$G,7,FALSE),100))</f>
      </c>
      <c r="G422" s="9">
        <f>IF(C422="","",IFERROR(VLOOKUP(C422,Insumos!$A:$J,10,FALSE),IFERROR(VLOOKUP(C422,Preparos!$A:$F,6,FALSE),0)))</f>
      </c>
      <c r="H422" s="10">
        <f>IF(OR(D422="",G422="",F422=0),"",D422*G422*(100/F422))</f>
      </c>
      <c r="I422" s="5"/>
    </row>
    <row r="423" spans="1:9" x14ac:dyDescent="0.25">
      <c r="A423" s="7"/>
      <c r="B423" s="8">
        <f>IF(C423="","",IF(ISNUMBER(MATCH(C423,Insumos!$A:$A,0)),"insumo",IF(ISNUMBER(MATCH(C423,Preparos!$A:$A,0)),"preparo","")))</f>
      </c>
      <c r="C423" s="7"/>
      <c r="D423" s="7"/>
      <c r="E423" s="8">
        <f>IF(C423="","",IFERROR(VLOOKUP(C423,Insumos!$A:$I,9,FALSE),IFERROR(VLOOKUP(C423,Preparos!$A:$D,4,FALSE),"")))</f>
      </c>
      <c r="F423" s="8">
        <f>IF(C423="","",IFERROR(VLOOKUP(C423,Insumos!$A:$G,7,FALSE),100))</f>
      </c>
      <c r="G423" s="9">
        <f>IF(C423="","",IFERROR(VLOOKUP(C423,Insumos!$A:$J,10,FALSE),IFERROR(VLOOKUP(C423,Preparos!$A:$F,6,FALSE),0)))</f>
      </c>
      <c r="H423" s="10">
        <f>IF(OR(D423="",G423="",F423=0),"",D423*G423*(100/F423))</f>
      </c>
      <c r="I423" s="5"/>
    </row>
    <row r="424" spans="1:9" x14ac:dyDescent="0.25">
      <c r="A424" s="7"/>
      <c r="B424" s="8">
        <f>IF(C424="","",IF(ISNUMBER(MATCH(C424,Insumos!$A:$A,0)),"insumo",IF(ISNUMBER(MATCH(C424,Preparos!$A:$A,0)),"preparo","")))</f>
      </c>
      <c r="C424" s="7"/>
      <c r="D424" s="7"/>
      <c r="E424" s="8">
        <f>IF(C424="","",IFERROR(VLOOKUP(C424,Insumos!$A:$I,9,FALSE),IFERROR(VLOOKUP(C424,Preparos!$A:$D,4,FALSE),"")))</f>
      </c>
      <c r="F424" s="8">
        <f>IF(C424="","",IFERROR(VLOOKUP(C424,Insumos!$A:$G,7,FALSE),100))</f>
      </c>
      <c r="G424" s="9">
        <f>IF(C424="","",IFERROR(VLOOKUP(C424,Insumos!$A:$J,10,FALSE),IFERROR(VLOOKUP(C424,Preparos!$A:$F,6,FALSE),0)))</f>
      </c>
      <c r="H424" s="10">
        <f>IF(OR(D424="",G424="",F424=0),"",D424*G424*(100/F424))</f>
      </c>
      <c r="I424" s="5"/>
    </row>
    <row r="425" spans="1:9" x14ac:dyDescent="0.25">
      <c r="A425" s="7"/>
      <c r="B425" s="8">
        <f>IF(C425="","",IF(ISNUMBER(MATCH(C425,Insumos!$A:$A,0)),"insumo",IF(ISNUMBER(MATCH(C425,Preparos!$A:$A,0)),"preparo","")))</f>
      </c>
      <c r="C425" s="7"/>
      <c r="D425" s="7"/>
      <c r="E425" s="8">
        <f>IF(C425="","",IFERROR(VLOOKUP(C425,Insumos!$A:$I,9,FALSE),IFERROR(VLOOKUP(C425,Preparos!$A:$D,4,FALSE),"")))</f>
      </c>
      <c r="F425" s="8">
        <f>IF(C425="","",IFERROR(VLOOKUP(C425,Insumos!$A:$G,7,FALSE),100))</f>
      </c>
      <c r="G425" s="9">
        <f>IF(C425="","",IFERROR(VLOOKUP(C425,Insumos!$A:$J,10,FALSE),IFERROR(VLOOKUP(C425,Preparos!$A:$F,6,FALSE),0)))</f>
      </c>
      <c r="H425" s="10">
        <f>IF(OR(D425="",G425="",F425=0),"",D425*G425*(100/F425))</f>
      </c>
      <c r="I425" s="5"/>
    </row>
    <row r="426" spans="1:9" x14ac:dyDescent="0.25">
      <c r="A426" s="7"/>
      <c r="B426" s="8">
        <f>IF(C426="","",IF(ISNUMBER(MATCH(C426,Insumos!$A:$A,0)),"insumo",IF(ISNUMBER(MATCH(C426,Preparos!$A:$A,0)),"preparo","")))</f>
      </c>
      <c r="C426" s="7"/>
      <c r="D426" s="7"/>
      <c r="E426" s="8">
        <f>IF(C426="","",IFERROR(VLOOKUP(C426,Insumos!$A:$I,9,FALSE),IFERROR(VLOOKUP(C426,Preparos!$A:$D,4,FALSE),"")))</f>
      </c>
      <c r="F426" s="8">
        <f>IF(C426="","",IFERROR(VLOOKUP(C426,Insumos!$A:$G,7,FALSE),100))</f>
      </c>
      <c r="G426" s="9">
        <f>IF(C426="","",IFERROR(VLOOKUP(C426,Insumos!$A:$J,10,FALSE),IFERROR(VLOOKUP(C426,Preparos!$A:$F,6,FALSE),0)))</f>
      </c>
      <c r="H426" s="10">
        <f>IF(OR(D426="",G426="",F426=0),"",D426*G426*(100/F426))</f>
      </c>
      <c r="I426" s="5"/>
    </row>
    <row r="427" spans="1:9" x14ac:dyDescent="0.25">
      <c r="A427" s="7"/>
      <c r="B427" s="8">
        <f>IF(C427="","",IF(ISNUMBER(MATCH(C427,Insumos!$A:$A,0)),"insumo",IF(ISNUMBER(MATCH(C427,Preparos!$A:$A,0)),"preparo","")))</f>
      </c>
      <c r="C427" s="7"/>
      <c r="D427" s="7"/>
      <c r="E427" s="8">
        <f>IF(C427="","",IFERROR(VLOOKUP(C427,Insumos!$A:$I,9,FALSE),IFERROR(VLOOKUP(C427,Preparos!$A:$D,4,FALSE),"")))</f>
      </c>
      <c r="F427" s="8">
        <f>IF(C427="","",IFERROR(VLOOKUP(C427,Insumos!$A:$G,7,FALSE),100))</f>
      </c>
      <c r="G427" s="9">
        <f>IF(C427="","",IFERROR(VLOOKUP(C427,Insumos!$A:$J,10,FALSE),IFERROR(VLOOKUP(C427,Preparos!$A:$F,6,FALSE),0)))</f>
      </c>
      <c r="H427" s="10">
        <f>IF(OR(D427="",G427="",F427=0),"",D427*G427*(100/F427))</f>
      </c>
      <c r="I427" s="5"/>
    </row>
    <row r="428" spans="1:9" x14ac:dyDescent="0.25">
      <c r="A428" s="7"/>
      <c r="B428" s="8">
        <f>IF(C428="","",IF(ISNUMBER(MATCH(C428,Insumos!$A:$A,0)),"insumo",IF(ISNUMBER(MATCH(C428,Preparos!$A:$A,0)),"preparo","")))</f>
      </c>
      <c r="C428" s="7"/>
      <c r="D428" s="7"/>
      <c r="E428" s="8">
        <f>IF(C428="","",IFERROR(VLOOKUP(C428,Insumos!$A:$I,9,FALSE),IFERROR(VLOOKUP(C428,Preparos!$A:$D,4,FALSE),"")))</f>
      </c>
      <c r="F428" s="8">
        <f>IF(C428="","",IFERROR(VLOOKUP(C428,Insumos!$A:$G,7,FALSE),100))</f>
      </c>
      <c r="G428" s="9">
        <f>IF(C428="","",IFERROR(VLOOKUP(C428,Insumos!$A:$J,10,FALSE),IFERROR(VLOOKUP(C428,Preparos!$A:$F,6,FALSE),0)))</f>
      </c>
      <c r="H428" s="10">
        <f>IF(OR(D428="",G428="",F428=0),"",D428*G428*(100/F428))</f>
      </c>
      <c r="I428" s="5"/>
    </row>
    <row r="429" spans="1:9" x14ac:dyDescent="0.25">
      <c r="A429" s="7"/>
      <c r="B429" s="8">
        <f>IF(C429="","",IF(ISNUMBER(MATCH(C429,Insumos!$A:$A,0)),"insumo",IF(ISNUMBER(MATCH(C429,Preparos!$A:$A,0)),"preparo","")))</f>
      </c>
      <c r="C429" s="7"/>
      <c r="D429" s="7"/>
      <c r="E429" s="8">
        <f>IF(C429="","",IFERROR(VLOOKUP(C429,Insumos!$A:$I,9,FALSE),IFERROR(VLOOKUP(C429,Preparos!$A:$D,4,FALSE),"")))</f>
      </c>
      <c r="F429" s="8">
        <f>IF(C429="","",IFERROR(VLOOKUP(C429,Insumos!$A:$G,7,FALSE),100))</f>
      </c>
      <c r="G429" s="9">
        <f>IF(C429="","",IFERROR(VLOOKUP(C429,Insumos!$A:$J,10,FALSE),IFERROR(VLOOKUP(C429,Preparos!$A:$F,6,FALSE),0)))</f>
      </c>
      <c r="H429" s="10">
        <f>IF(OR(D429="",G429="",F429=0),"",D429*G429*(100/F429))</f>
      </c>
      <c r="I429" s="5"/>
    </row>
    <row r="430" spans="1:9" x14ac:dyDescent="0.25">
      <c r="A430" s="7"/>
      <c r="B430" s="8">
        <f>IF(C430="","",IF(ISNUMBER(MATCH(C430,Insumos!$A:$A,0)),"insumo",IF(ISNUMBER(MATCH(C430,Preparos!$A:$A,0)),"preparo","")))</f>
      </c>
      <c r="C430" s="7"/>
      <c r="D430" s="7"/>
      <c r="E430" s="8">
        <f>IF(C430="","",IFERROR(VLOOKUP(C430,Insumos!$A:$I,9,FALSE),IFERROR(VLOOKUP(C430,Preparos!$A:$D,4,FALSE),"")))</f>
      </c>
      <c r="F430" s="8">
        <f>IF(C430="","",IFERROR(VLOOKUP(C430,Insumos!$A:$G,7,FALSE),100))</f>
      </c>
      <c r="G430" s="9">
        <f>IF(C430="","",IFERROR(VLOOKUP(C430,Insumos!$A:$J,10,FALSE),IFERROR(VLOOKUP(C430,Preparos!$A:$F,6,FALSE),0)))</f>
      </c>
      <c r="H430" s="10">
        <f>IF(OR(D430="",G430="",F430=0),"",D430*G430*(100/F430))</f>
      </c>
      <c r="I430" s="5"/>
    </row>
    <row r="431" spans="1:9" x14ac:dyDescent="0.25">
      <c r="A431" s="7"/>
      <c r="B431" s="8">
        <f>IF(C431="","",IF(ISNUMBER(MATCH(C431,Insumos!$A:$A,0)),"insumo",IF(ISNUMBER(MATCH(C431,Preparos!$A:$A,0)),"preparo","")))</f>
      </c>
      <c r="C431" s="7"/>
      <c r="D431" s="7"/>
      <c r="E431" s="8">
        <f>IF(C431="","",IFERROR(VLOOKUP(C431,Insumos!$A:$I,9,FALSE),IFERROR(VLOOKUP(C431,Preparos!$A:$D,4,FALSE),"")))</f>
      </c>
      <c r="F431" s="8">
        <f>IF(C431="","",IFERROR(VLOOKUP(C431,Insumos!$A:$G,7,FALSE),100))</f>
      </c>
      <c r="G431" s="9">
        <f>IF(C431="","",IFERROR(VLOOKUP(C431,Insumos!$A:$J,10,FALSE),IFERROR(VLOOKUP(C431,Preparos!$A:$F,6,FALSE),0)))</f>
      </c>
      <c r="H431" s="10">
        <f>IF(OR(D431="",G431="",F431=0),"",D431*G431*(100/F431))</f>
      </c>
      <c r="I431" s="5"/>
    </row>
    <row r="432" spans="1:9" x14ac:dyDescent="0.25">
      <c r="A432" s="7"/>
      <c r="B432" s="8">
        <f>IF(C432="","",IF(ISNUMBER(MATCH(C432,Insumos!$A:$A,0)),"insumo",IF(ISNUMBER(MATCH(C432,Preparos!$A:$A,0)),"preparo","")))</f>
      </c>
      <c r="C432" s="7"/>
      <c r="D432" s="7"/>
      <c r="E432" s="8">
        <f>IF(C432="","",IFERROR(VLOOKUP(C432,Insumos!$A:$I,9,FALSE),IFERROR(VLOOKUP(C432,Preparos!$A:$D,4,FALSE),"")))</f>
      </c>
      <c r="F432" s="8">
        <f>IF(C432="","",IFERROR(VLOOKUP(C432,Insumos!$A:$G,7,FALSE),100))</f>
      </c>
      <c r="G432" s="9">
        <f>IF(C432="","",IFERROR(VLOOKUP(C432,Insumos!$A:$J,10,FALSE),IFERROR(VLOOKUP(C432,Preparos!$A:$F,6,FALSE),0)))</f>
      </c>
      <c r="H432" s="10">
        <f>IF(OR(D432="",G432="",F432=0),"",D432*G432*(100/F432))</f>
      </c>
      <c r="I432" s="5"/>
    </row>
    <row r="433" spans="1:9" x14ac:dyDescent="0.25">
      <c r="A433" s="7"/>
      <c r="B433" s="8">
        <f>IF(C433="","",IF(ISNUMBER(MATCH(C433,Insumos!$A:$A,0)),"insumo",IF(ISNUMBER(MATCH(C433,Preparos!$A:$A,0)),"preparo","")))</f>
      </c>
      <c r="C433" s="7"/>
      <c r="D433" s="7"/>
      <c r="E433" s="8">
        <f>IF(C433="","",IFERROR(VLOOKUP(C433,Insumos!$A:$I,9,FALSE),IFERROR(VLOOKUP(C433,Preparos!$A:$D,4,FALSE),"")))</f>
      </c>
      <c r="F433" s="8">
        <f>IF(C433="","",IFERROR(VLOOKUP(C433,Insumos!$A:$G,7,FALSE),100))</f>
      </c>
      <c r="G433" s="9">
        <f>IF(C433="","",IFERROR(VLOOKUP(C433,Insumos!$A:$J,10,FALSE),IFERROR(VLOOKUP(C433,Preparos!$A:$F,6,FALSE),0)))</f>
      </c>
      <c r="H433" s="10">
        <f>IF(OR(D433="",G433="",F433=0),"",D433*G433*(100/F433))</f>
      </c>
      <c r="I433" s="5"/>
    </row>
    <row r="434" spans="1:9" x14ac:dyDescent="0.25">
      <c r="A434" s="7"/>
      <c r="B434" s="8">
        <f>IF(C434="","",IF(ISNUMBER(MATCH(C434,Insumos!$A:$A,0)),"insumo",IF(ISNUMBER(MATCH(C434,Preparos!$A:$A,0)),"preparo","")))</f>
      </c>
      <c r="C434" s="7"/>
      <c r="D434" s="7"/>
      <c r="E434" s="8">
        <f>IF(C434="","",IFERROR(VLOOKUP(C434,Insumos!$A:$I,9,FALSE),IFERROR(VLOOKUP(C434,Preparos!$A:$D,4,FALSE),"")))</f>
      </c>
      <c r="F434" s="8">
        <f>IF(C434="","",IFERROR(VLOOKUP(C434,Insumos!$A:$G,7,FALSE),100))</f>
      </c>
      <c r="G434" s="9">
        <f>IF(C434="","",IFERROR(VLOOKUP(C434,Insumos!$A:$J,10,FALSE),IFERROR(VLOOKUP(C434,Preparos!$A:$F,6,FALSE),0)))</f>
      </c>
      <c r="H434" s="10">
        <f>IF(OR(D434="",G434="",F434=0),"",D434*G434*(100/F434))</f>
      </c>
      <c r="I434" s="5"/>
    </row>
    <row r="435" spans="1:9" x14ac:dyDescent="0.25">
      <c r="A435" s="7"/>
      <c r="B435" s="8">
        <f>IF(C435="","",IF(ISNUMBER(MATCH(C435,Insumos!$A:$A,0)),"insumo",IF(ISNUMBER(MATCH(C435,Preparos!$A:$A,0)),"preparo","")))</f>
      </c>
      <c r="C435" s="7"/>
      <c r="D435" s="7"/>
      <c r="E435" s="8">
        <f>IF(C435="","",IFERROR(VLOOKUP(C435,Insumos!$A:$I,9,FALSE),IFERROR(VLOOKUP(C435,Preparos!$A:$D,4,FALSE),"")))</f>
      </c>
      <c r="F435" s="8">
        <f>IF(C435="","",IFERROR(VLOOKUP(C435,Insumos!$A:$G,7,FALSE),100))</f>
      </c>
      <c r="G435" s="9">
        <f>IF(C435="","",IFERROR(VLOOKUP(C435,Insumos!$A:$J,10,FALSE),IFERROR(VLOOKUP(C435,Preparos!$A:$F,6,FALSE),0)))</f>
      </c>
      <c r="H435" s="10">
        <f>IF(OR(D435="",G435="",F435=0),"",D435*G435*(100/F435))</f>
      </c>
      <c r="I435" s="5"/>
    </row>
    <row r="436" spans="1:9" x14ac:dyDescent="0.25">
      <c r="A436" s="7"/>
      <c r="B436" s="8">
        <f>IF(C436="","",IF(ISNUMBER(MATCH(C436,Insumos!$A:$A,0)),"insumo",IF(ISNUMBER(MATCH(C436,Preparos!$A:$A,0)),"preparo","")))</f>
      </c>
      <c r="C436" s="7"/>
      <c r="D436" s="7"/>
      <c r="E436" s="8">
        <f>IF(C436="","",IFERROR(VLOOKUP(C436,Insumos!$A:$I,9,FALSE),IFERROR(VLOOKUP(C436,Preparos!$A:$D,4,FALSE),"")))</f>
      </c>
      <c r="F436" s="8">
        <f>IF(C436="","",IFERROR(VLOOKUP(C436,Insumos!$A:$G,7,FALSE),100))</f>
      </c>
      <c r="G436" s="9">
        <f>IF(C436="","",IFERROR(VLOOKUP(C436,Insumos!$A:$J,10,FALSE),IFERROR(VLOOKUP(C436,Preparos!$A:$F,6,FALSE),0)))</f>
      </c>
      <c r="H436" s="10">
        <f>IF(OR(D436="",G436="",F436=0),"",D436*G436*(100/F436))</f>
      </c>
      <c r="I436" s="5"/>
    </row>
    <row r="437" spans="1:9" x14ac:dyDescent="0.25">
      <c r="A437" s="7"/>
      <c r="B437" s="8">
        <f>IF(C437="","",IF(ISNUMBER(MATCH(C437,Insumos!$A:$A,0)),"insumo",IF(ISNUMBER(MATCH(C437,Preparos!$A:$A,0)),"preparo","")))</f>
      </c>
      <c r="C437" s="7"/>
      <c r="D437" s="7"/>
      <c r="E437" s="8">
        <f>IF(C437="","",IFERROR(VLOOKUP(C437,Insumos!$A:$I,9,FALSE),IFERROR(VLOOKUP(C437,Preparos!$A:$D,4,FALSE),"")))</f>
      </c>
      <c r="F437" s="8">
        <f>IF(C437="","",IFERROR(VLOOKUP(C437,Insumos!$A:$G,7,FALSE),100))</f>
      </c>
      <c r="G437" s="9">
        <f>IF(C437="","",IFERROR(VLOOKUP(C437,Insumos!$A:$J,10,FALSE),IFERROR(VLOOKUP(C437,Preparos!$A:$F,6,FALSE),0)))</f>
      </c>
      <c r="H437" s="10">
        <f>IF(OR(D437="",G437="",F437=0),"",D437*G437*(100/F437))</f>
      </c>
      <c r="I437" s="5"/>
    </row>
    <row r="438" spans="1:9" x14ac:dyDescent="0.25">
      <c r="A438" s="7"/>
      <c r="B438" s="8">
        <f>IF(C438="","",IF(ISNUMBER(MATCH(C438,Insumos!$A:$A,0)),"insumo",IF(ISNUMBER(MATCH(C438,Preparos!$A:$A,0)),"preparo","")))</f>
      </c>
      <c r="C438" s="7"/>
      <c r="D438" s="7"/>
      <c r="E438" s="8">
        <f>IF(C438="","",IFERROR(VLOOKUP(C438,Insumos!$A:$I,9,FALSE),IFERROR(VLOOKUP(C438,Preparos!$A:$D,4,FALSE),"")))</f>
      </c>
      <c r="F438" s="8">
        <f>IF(C438="","",IFERROR(VLOOKUP(C438,Insumos!$A:$G,7,FALSE),100))</f>
      </c>
      <c r="G438" s="9">
        <f>IF(C438="","",IFERROR(VLOOKUP(C438,Insumos!$A:$J,10,FALSE),IFERROR(VLOOKUP(C438,Preparos!$A:$F,6,FALSE),0)))</f>
      </c>
      <c r="H438" s="10">
        <f>IF(OR(D438="",G438="",F438=0),"",D438*G438*(100/F438))</f>
      </c>
      <c r="I438" s="5"/>
    </row>
    <row r="439" spans="1:9" x14ac:dyDescent="0.25">
      <c r="A439" s="7"/>
      <c r="B439" s="8">
        <f>IF(C439="","",IF(ISNUMBER(MATCH(C439,Insumos!$A:$A,0)),"insumo",IF(ISNUMBER(MATCH(C439,Preparos!$A:$A,0)),"preparo","")))</f>
      </c>
      <c r="C439" s="7"/>
      <c r="D439" s="7"/>
      <c r="E439" s="8">
        <f>IF(C439="","",IFERROR(VLOOKUP(C439,Insumos!$A:$I,9,FALSE),IFERROR(VLOOKUP(C439,Preparos!$A:$D,4,FALSE),"")))</f>
      </c>
      <c r="F439" s="8">
        <f>IF(C439="","",IFERROR(VLOOKUP(C439,Insumos!$A:$G,7,FALSE),100))</f>
      </c>
      <c r="G439" s="9">
        <f>IF(C439="","",IFERROR(VLOOKUP(C439,Insumos!$A:$J,10,FALSE),IFERROR(VLOOKUP(C439,Preparos!$A:$F,6,FALSE),0)))</f>
      </c>
      <c r="H439" s="10">
        <f>IF(OR(D439="",G439="",F439=0),"",D439*G439*(100/F439))</f>
      </c>
      <c r="I439" s="5"/>
    </row>
    <row r="440" spans="1:9" x14ac:dyDescent="0.25">
      <c r="A440" s="7"/>
      <c r="B440" s="8">
        <f>IF(C440="","",IF(ISNUMBER(MATCH(C440,Insumos!$A:$A,0)),"insumo",IF(ISNUMBER(MATCH(C440,Preparos!$A:$A,0)),"preparo","")))</f>
      </c>
      <c r="C440" s="7"/>
      <c r="D440" s="7"/>
      <c r="E440" s="8">
        <f>IF(C440="","",IFERROR(VLOOKUP(C440,Insumos!$A:$I,9,FALSE),IFERROR(VLOOKUP(C440,Preparos!$A:$D,4,FALSE),"")))</f>
      </c>
      <c r="F440" s="8">
        <f>IF(C440="","",IFERROR(VLOOKUP(C440,Insumos!$A:$G,7,FALSE),100))</f>
      </c>
      <c r="G440" s="9">
        <f>IF(C440="","",IFERROR(VLOOKUP(C440,Insumos!$A:$J,10,FALSE),IFERROR(VLOOKUP(C440,Preparos!$A:$F,6,FALSE),0)))</f>
      </c>
      <c r="H440" s="10">
        <f>IF(OR(D440="",G440="",F440=0),"",D440*G440*(100/F440))</f>
      </c>
      <c r="I440" s="5"/>
    </row>
    <row r="441" spans="1:9" x14ac:dyDescent="0.25">
      <c r="A441" s="7"/>
      <c r="B441" s="8">
        <f>IF(C441="","",IF(ISNUMBER(MATCH(C441,Insumos!$A:$A,0)),"insumo",IF(ISNUMBER(MATCH(C441,Preparos!$A:$A,0)),"preparo","")))</f>
      </c>
      <c r="C441" s="7"/>
      <c r="D441" s="7"/>
      <c r="E441" s="8">
        <f>IF(C441="","",IFERROR(VLOOKUP(C441,Insumos!$A:$I,9,FALSE),IFERROR(VLOOKUP(C441,Preparos!$A:$D,4,FALSE),"")))</f>
      </c>
      <c r="F441" s="8">
        <f>IF(C441="","",IFERROR(VLOOKUP(C441,Insumos!$A:$G,7,FALSE),100))</f>
      </c>
      <c r="G441" s="9">
        <f>IF(C441="","",IFERROR(VLOOKUP(C441,Insumos!$A:$J,10,FALSE),IFERROR(VLOOKUP(C441,Preparos!$A:$F,6,FALSE),0)))</f>
      </c>
      <c r="H441" s="10">
        <f>IF(OR(D441="",G441="",F441=0),"",D441*G441*(100/F441))</f>
      </c>
      <c r="I441" s="5"/>
    </row>
    <row r="442" spans="1:9" x14ac:dyDescent="0.25">
      <c r="A442" s="7"/>
      <c r="B442" s="8">
        <f>IF(C442="","",IF(ISNUMBER(MATCH(C442,Insumos!$A:$A,0)),"insumo",IF(ISNUMBER(MATCH(C442,Preparos!$A:$A,0)),"preparo","")))</f>
      </c>
      <c r="C442" s="7"/>
      <c r="D442" s="7"/>
      <c r="E442" s="8">
        <f>IF(C442="","",IFERROR(VLOOKUP(C442,Insumos!$A:$I,9,FALSE),IFERROR(VLOOKUP(C442,Preparos!$A:$D,4,FALSE),"")))</f>
      </c>
      <c r="F442" s="8">
        <f>IF(C442="","",IFERROR(VLOOKUP(C442,Insumos!$A:$G,7,FALSE),100))</f>
      </c>
      <c r="G442" s="9">
        <f>IF(C442="","",IFERROR(VLOOKUP(C442,Insumos!$A:$J,10,FALSE),IFERROR(VLOOKUP(C442,Preparos!$A:$F,6,FALSE),0)))</f>
      </c>
      <c r="H442" s="10">
        <f>IF(OR(D442="",G442="",F442=0),"",D442*G442*(100/F442))</f>
      </c>
      <c r="I442" s="5"/>
    </row>
    <row r="443" spans="1:9" x14ac:dyDescent="0.25">
      <c r="A443" s="7"/>
      <c r="B443" s="8">
        <f>IF(C443="","",IF(ISNUMBER(MATCH(C443,Insumos!$A:$A,0)),"insumo",IF(ISNUMBER(MATCH(C443,Preparos!$A:$A,0)),"preparo","")))</f>
      </c>
      <c r="C443" s="7"/>
      <c r="D443" s="7"/>
      <c r="E443" s="8">
        <f>IF(C443="","",IFERROR(VLOOKUP(C443,Insumos!$A:$I,9,FALSE),IFERROR(VLOOKUP(C443,Preparos!$A:$D,4,FALSE),"")))</f>
      </c>
      <c r="F443" s="8">
        <f>IF(C443="","",IFERROR(VLOOKUP(C443,Insumos!$A:$G,7,FALSE),100))</f>
      </c>
      <c r="G443" s="9">
        <f>IF(C443="","",IFERROR(VLOOKUP(C443,Insumos!$A:$J,10,FALSE),IFERROR(VLOOKUP(C443,Preparos!$A:$F,6,FALSE),0)))</f>
      </c>
      <c r="H443" s="10">
        <f>IF(OR(D443="",G443="",F443=0),"",D443*G443*(100/F443))</f>
      </c>
      <c r="I443" s="5"/>
    </row>
    <row r="444" spans="1:9" x14ac:dyDescent="0.25">
      <c r="A444" s="7"/>
      <c r="B444" s="8">
        <f>IF(C444="","",IF(ISNUMBER(MATCH(C444,Insumos!$A:$A,0)),"insumo",IF(ISNUMBER(MATCH(C444,Preparos!$A:$A,0)),"preparo","")))</f>
      </c>
      <c r="C444" s="7"/>
      <c r="D444" s="7"/>
      <c r="E444" s="8">
        <f>IF(C444="","",IFERROR(VLOOKUP(C444,Insumos!$A:$I,9,FALSE),IFERROR(VLOOKUP(C444,Preparos!$A:$D,4,FALSE),"")))</f>
      </c>
      <c r="F444" s="8">
        <f>IF(C444="","",IFERROR(VLOOKUP(C444,Insumos!$A:$G,7,FALSE),100))</f>
      </c>
      <c r="G444" s="9">
        <f>IF(C444="","",IFERROR(VLOOKUP(C444,Insumos!$A:$J,10,FALSE),IFERROR(VLOOKUP(C444,Preparos!$A:$F,6,FALSE),0)))</f>
      </c>
      <c r="H444" s="10">
        <f>IF(OR(D444="",G444="",F444=0),"",D444*G444*(100/F444))</f>
      </c>
      <c r="I444" s="5"/>
    </row>
    <row r="445" spans="1:9" x14ac:dyDescent="0.25">
      <c r="A445" s="7"/>
      <c r="B445" s="8">
        <f>IF(C445="","",IF(ISNUMBER(MATCH(C445,Insumos!$A:$A,0)),"insumo",IF(ISNUMBER(MATCH(C445,Preparos!$A:$A,0)),"preparo","")))</f>
      </c>
      <c r="C445" s="7"/>
      <c r="D445" s="7"/>
      <c r="E445" s="8">
        <f>IF(C445="","",IFERROR(VLOOKUP(C445,Insumos!$A:$I,9,FALSE),IFERROR(VLOOKUP(C445,Preparos!$A:$D,4,FALSE),"")))</f>
      </c>
      <c r="F445" s="8">
        <f>IF(C445="","",IFERROR(VLOOKUP(C445,Insumos!$A:$G,7,FALSE),100))</f>
      </c>
      <c r="G445" s="9">
        <f>IF(C445="","",IFERROR(VLOOKUP(C445,Insumos!$A:$J,10,FALSE),IFERROR(VLOOKUP(C445,Preparos!$A:$F,6,FALSE),0)))</f>
      </c>
      <c r="H445" s="10">
        <f>IF(OR(D445="",G445="",F445=0),"",D445*G445*(100/F445))</f>
      </c>
      <c r="I445" s="5"/>
    </row>
    <row r="446" spans="1:9" x14ac:dyDescent="0.25">
      <c r="A446" s="7"/>
      <c r="B446" s="8">
        <f>IF(C446="","",IF(ISNUMBER(MATCH(C446,Insumos!$A:$A,0)),"insumo",IF(ISNUMBER(MATCH(C446,Preparos!$A:$A,0)),"preparo","")))</f>
      </c>
      <c r="C446" s="7"/>
      <c r="D446" s="7"/>
      <c r="E446" s="8">
        <f>IF(C446="","",IFERROR(VLOOKUP(C446,Insumos!$A:$I,9,FALSE),IFERROR(VLOOKUP(C446,Preparos!$A:$D,4,FALSE),"")))</f>
      </c>
      <c r="F446" s="8">
        <f>IF(C446="","",IFERROR(VLOOKUP(C446,Insumos!$A:$G,7,FALSE),100))</f>
      </c>
      <c r="G446" s="9">
        <f>IF(C446="","",IFERROR(VLOOKUP(C446,Insumos!$A:$J,10,FALSE),IFERROR(VLOOKUP(C446,Preparos!$A:$F,6,FALSE),0)))</f>
      </c>
      <c r="H446" s="10">
        <f>IF(OR(D446="",G446="",F446=0),"",D446*G446*(100/F446))</f>
      </c>
      <c r="I446" s="5"/>
    </row>
    <row r="447" spans="1:9" x14ac:dyDescent="0.25">
      <c r="A447" s="7"/>
      <c r="B447" s="8">
        <f>IF(C447="","",IF(ISNUMBER(MATCH(C447,Insumos!$A:$A,0)),"insumo",IF(ISNUMBER(MATCH(C447,Preparos!$A:$A,0)),"preparo","")))</f>
      </c>
      <c r="C447" s="7"/>
      <c r="D447" s="7"/>
      <c r="E447" s="8">
        <f>IF(C447="","",IFERROR(VLOOKUP(C447,Insumos!$A:$I,9,FALSE),IFERROR(VLOOKUP(C447,Preparos!$A:$D,4,FALSE),"")))</f>
      </c>
      <c r="F447" s="8">
        <f>IF(C447="","",IFERROR(VLOOKUP(C447,Insumos!$A:$G,7,FALSE),100))</f>
      </c>
      <c r="G447" s="9">
        <f>IF(C447="","",IFERROR(VLOOKUP(C447,Insumos!$A:$J,10,FALSE),IFERROR(VLOOKUP(C447,Preparos!$A:$F,6,FALSE),0)))</f>
      </c>
      <c r="H447" s="10">
        <f>IF(OR(D447="",G447="",F447=0),"",D447*G447*(100/F447))</f>
      </c>
      <c r="I447" s="5"/>
    </row>
    <row r="448" spans="1:9" x14ac:dyDescent="0.25">
      <c r="A448" s="7"/>
      <c r="B448" s="8">
        <f>IF(C448="","",IF(ISNUMBER(MATCH(C448,Insumos!$A:$A,0)),"insumo",IF(ISNUMBER(MATCH(C448,Preparos!$A:$A,0)),"preparo","")))</f>
      </c>
      <c r="C448" s="7"/>
      <c r="D448" s="7"/>
      <c r="E448" s="8">
        <f>IF(C448="","",IFERROR(VLOOKUP(C448,Insumos!$A:$I,9,FALSE),IFERROR(VLOOKUP(C448,Preparos!$A:$D,4,FALSE),"")))</f>
      </c>
      <c r="F448" s="8">
        <f>IF(C448="","",IFERROR(VLOOKUP(C448,Insumos!$A:$G,7,FALSE),100))</f>
      </c>
      <c r="G448" s="9">
        <f>IF(C448="","",IFERROR(VLOOKUP(C448,Insumos!$A:$J,10,FALSE),IFERROR(VLOOKUP(C448,Preparos!$A:$F,6,FALSE),0)))</f>
      </c>
      <c r="H448" s="10">
        <f>IF(OR(D448="",G448="",F448=0),"",D448*G448*(100/F448))</f>
      </c>
      <c r="I448" s="5"/>
    </row>
    <row r="449" spans="1:9" x14ac:dyDescent="0.25">
      <c r="A449" s="7"/>
      <c r="B449" s="8">
        <f>IF(C449="","",IF(ISNUMBER(MATCH(C449,Insumos!$A:$A,0)),"insumo",IF(ISNUMBER(MATCH(C449,Preparos!$A:$A,0)),"preparo","")))</f>
      </c>
      <c r="C449" s="7"/>
      <c r="D449" s="7"/>
      <c r="E449" s="8">
        <f>IF(C449="","",IFERROR(VLOOKUP(C449,Insumos!$A:$I,9,FALSE),IFERROR(VLOOKUP(C449,Preparos!$A:$D,4,FALSE),"")))</f>
      </c>
      <c r="F449" s="8">
        <f>IF(C449="","",IFERROR(VLOOKUP(C449,Insumos!$A:$G,7,FALSE),100))</f>
      </c>
      <c r="G449" s="9">
        <f>IF(C449="","",IFERROR(VLOOKUP(C449,Insumos!$A:$J,10,FALSE),IFERROR(VLOOKUP(C449,Preparos!$A:$F,6,FALSE),0)))</f>
      </c>
      <c r="H449" s="10">
        <f>IF(OR(D449="",G449="",F449=0),"",D449*G449*(100/F449))</f>
      </c>
      <c r="I449" s="5"/>
    </row>
    <row r="450" spans="1:9" x14ac:dyDescent="0.25">
      <c r="A450" s="7"/>
      <c r="B450" s="8">
        <f>IF(C450="","",IF(ISNUMBER(MATCH(C450,Insumos!$A:$A,0)),"insumo",IF(ISNUMBER(MATCH(C450,Preparos!$A:$A,0)),"preparo","")))</f>
      </c>
      <c r="C450" s="7"/>
      <c r="D450" s="7"/>
      <c r="E450" s="8">
        <f>IF(C450="","",IFERROR(VLOOKUP(C450,Insumos!$A:$I,9,FALSE),IFERROR(VLOOKUP(C450,Preparos!$A:$D,4,FALSE),"")))</f>
      </c>
      <c r="F450" s="8">
        <f>IF(C450="","",IFERROR(VLOOKUP(C450,Insumos!$A:$G,7,FALSE),100))</f>
      </c>
      <c r="G450" s="9">
        <f>IF(C450="","",IFERROR(VLOOKUP(C450,Insumos!$A:$J,10,FALSE),IFERROR(VLOOKUP(C450,Preparos!$A:$F,6,FALSE),0)))</f>
      </c>
      <c r="H450" s="10">
        <f>IF(OR(D450="",G450="",F450=0),"",D450*G450*(100/F450))</f>
      </c>
      <c r="I450" s="5"/>
    </row>
    <row r="451" spans="1:9" x14ac:dyDescent="0.25">
      <c r="A451" s="7"/>
      <c r="B451" s="8">
        <f>IF(C451="","",IF(ISNUMBER(MATCH(C451,Insumos!$A:$A,0)),"insumo",IF(ISNUMBER(MATCH(C451,Preparos!$A:$A,0)),"preparo","")))</f>
      </c>
      <c r="C451" s="7"/>
      <c r="D451" s="7"/>
      <c r="E451" s="8">
        <f>IF(C451="","",IFERROR(VLOOKUP(C451,Insumos!$A:$I,9,FALSE),IFERROR(VLOOKUP(C451,Preparos!$A:$D,4,FALSE),"")))</f>
      </c>
      <c r="F451" s="8">
        <f>IF(C451="","",IFERROR(VLOOKUP(C451,Insumos!$A:$G,7,FALSE),100))</f>
      </c>
      <c r="G451" s="9">
        <f>IF(C451="","",IFERROR(VLOOKUP(C451,Insumos!$A:$J,10,FALSE),IFERROR(VLOOKUP(C451,Preparos!$A:$F,6,FALSE),0)))</f>
      </c>
      <c r="H451" s="10">
        <f>IF(OR(D451="",G451="",F451=0),"",D451*G451*(100/F451))</f>
      </c>
      <c r="I451" s="5"/>
    </row>
    <row r="452" spans="1:9" x14ac:dyDescent="0.25">
      <c r="A452" s="7"/>
      <c r="B452" s="8">
        <f>IF(C452="","",IF(ISNUMBER(MATCH(C452,Insumos!$A:$A,0)),"insumo",IF(ISNUMBER(MATCH(C452,Preparos!$A:$A,0)),"preparo","")))</f>
      </c>
      <c r="C452" s="7"/>
      <c r="D452" s="7"/>
      <c r="E452" s="8">
        <f>IF(C452="","",IFERROR(VLOOKUP(C452,Insumos!$A:$I,9,FALSE),IFERROR(VLOOKUP(C452,Preparos!$A:$D,4,FALSE),"")))</f>
      </c>
      <c r="F452" s="8">
        <f>IF(C452="","",IFERROR(VLOOKUP(C452,Insumos!$A:$G,7,FALSE),100))</f>
      </c>
      <c r="G452" s="9">
        <f>IF(C452="","",IFERROR(VLOOKUP(C452,Insumos!$A:$J,10,FALSE),IFERROR(VLOOKUP(C452,Preparos!$A:$F,6,FALSE),0)))</f>
      </c>
      <c r="H452" s="10">
        <f>IF(OR(D452="",G452="",F452=0),"",D452*G452*(100/F452))</f>
      </c>
      <c r="I452" s="5"/>
    </row>
    <row r="453" spans="1:9" x14ac:dyDescent="0.25">
      <c r="A453" s="7"/>
      <c r="B453" s="8">
        <f>IF(C453="","",IF(ISNUMBER(MATCH(C453,Insumos!$A:$A,0)),"insumo",IF(ISNUMBER(MATCH(C453,Preparos!$A:$A,0)),"preparo","")))</f>
      </c>
      <c r="C453" s="7"/>
      <c r="D453" s="7"/>
      <c r="E453" s="8">
        <f>IF(C453="","",IFERROR(VLOOKUP(C453,Insumos!$A:$I,9,FALSE),IFERROR(VLOOKUP(C453,Preparos!$A:$D,4,FALSE),"")))</f>
      </c>
      <c r="F453" s="8">
        <f>IF(C453="","",IFERROR(VLOOKUP(C453,Insumos!$A:$G,7,FALSE),100))</f>
      </c>
      <c r="G453" s="9">
        <f>IF(C453="","",IFERROR(VLOOKUP(C453,Insumos!$A:$J,10,FALSE),IFERROR(VLOOKUP(C453,Preparos!$A:$F,6,FALSE),0)))</f>
      </c>
      <c r="H453" s="10">
        <f>IF(OR(D453="",G453="",F453=0),"",D453*G453*(100/F453))</f>
      </c>
      <c r="I453" s="5"/>
    </row>
    <row r="454" spans="1:9" x14ac:dyDescent="0.25">
      <c r="A454" s="7"/>
      <c r="B454" s="8">
        <f>IF(C454="","",IF(ISNUMBER(MATCH(C454,Insumos!$A:$A,0)),"insumo",IF(ISNUMBER(MATCH(C454,Preparos!$A:$A,0)),"preparo","")))</f>
      </c>
      <c r="C454" s="7"/>
      <c r="D454" s="7"/>
      <c r="E454" s="8">
        <f>IF(C454="","",IFERROR(VLOOKUP(C454,Insumos!$A:$I,9,FALSE),IFERROR(VLOOKUP(C454,Preparos!$A:$D,4,FALSE),"")))</f>
      </c>
      <c r="F454" s="8">
        <f>IF(C454="","",IFERROR(VLOOKUP(C454,Insumos!$A:$G,7,FALSE),100))</f>
      </c>
      <c r="G454" s="9">
        <f>IF(C454="","",IFERROR(VLOOKUP(C454,Insumos!$A:$J,10,FALSE),IFERROR(VLOOKUP(C454,Preparos!$A:$F,6,FALSE),0)))</f>
      </c>
      <c r="H454" s="10">
        <f>IF(OR(D454="",G454="",F454=0),"",D454*G454*(100/F454))</f>
      </c>
      <c r="I454" s="5"/>
    </row>
    <row r="455" spans="1:9" x14ac:dyDescent="0.25">
      <c r="A455" s="7"/>
      <c r="B455" s="8">
        <f>IF(C455="","",IF(ISNUMBER(MATCH(C455,Insumos!$A:$A,0)),"insumo",IF(ISNUMBER(MATCH(C455,Preparos!$A:$A,0)),"preparo","")))</f>
      </c>
      <c r="C455" s="7"/>
      <c r="D455" s="7"/>
      <c r="E455" s="8">
        <f>IF(C455="","",IFERROR(VLOOKUP(C455,Insumos!$A:$I,9,FALSE),IFERROR(VLOOKUP(C455,Preparos!$A:$D,4,FALSE),"")))</f>
      </c>
      <c r="F455" s="8">
        <f>IF(C455="","",IFERROR(VLOOKUP(C455,Insumos!$A:$G,7,FALSE),100))</f>
      </c>
      <c r="G455" s="9">
        <f>IF(C455="","",IFERROR(VLOOKUP(C455,Insumos!$A:$J,10,FALSE),IFERROR(VLOOKUP(C455,Preparos!$A:$F,6,FALSE),0)))</f>
      </c>
      <c r="H455" s="10">
        <f>IF(OR(D455="",G455="",F455=0),"",D455*G455*(100/F455))</f>
      </c>
      <c r="I455" s="5"/>
    </row>
    <row r="456" spans="1:9" x14ac:dyDescent="0.25">
      <c r="A456" s="7"/>
      <c r="B456" s="8">
        <f>IF(C456="","",IF(ISNUMBER(MATCH(C456,Insumos!$A:$A,0)),"insumo",IF(ISNUMBER(MATCH(C456,Preparos!$A:$A,0)),"preparo","")))</f>
      </c>
      <c r="C456" s="7"/>
      <c r="D456" s="7"/>
      <c r="E456" s="8">
        <f>IF(C456="","",IFERROR(VLOOKUP(C456,Insumos!$A:$I,9,FALSE),IFERROR(VLOOKUP(C456,Preparos!$A:$D,4,FALSE),"")))</f>
      </c>
      <c r="F456" s="8">
        <f>IF(C456="","",IFERROR(VLOOKUP(C456,Insumos!$A:$G,7,FALSE),100))</f>
      </c>
      <c r="G456" s="9">
        <f>IF(C456="","",IFERROR(VLOOKUP(C456,Insumos!$A:$J,10,FALSE),IFERROR(VLOOKUP(C456,Preparos!$A:$F,6,FALSE),0)))</f>
      </c>
      <c r="H456" s="10">
        <f>IF(OR(D456="",G456="",F456=0),"",D456*G456*(100/F456))</f>
      </c>
      <c r="I456" s="5"/>
    </row>
    <row r="457" spans="1:9" x14ac:dyDescent="0.25">
      <c r="A457" s="7"/>
      <c r="B457" s="8">
        <f>IF(C457="","",IF(ISNUMBER(MATCH(C457,Insumos!$A:$A,0)),"insumo",IF(ISNUMBER(MATCH(C457,Preparos!$A:$A,0)),"preparo","")))</f>
      </c>
      <c r="C457" s="7"/>
      <c r="D457" s="7"/>
      <c r="E457" s="8">
        <f>IF(C457="","",IFERROR(VLOOKUP(C457,Insumos!$A:$I,9,FALSE),IFERROR(VLOOKUP(C457,Preparos!$A:$D,4,FALSE),"")))</f>
      </c>
      <c r="F457" s="8">
        <f>IF(C457="","",IFERROR(VLOOKUP(C457,Insumos!$A:$G,7,FALSE),100))</f>
      </c>
      <c r="G457" s="9">
        <f>IF(C457="","",IFERROR(VLOOKUP(C457,Insumos!$A:$J,10,FALSE),IFERROR(VLOOKUP(C457,Preparos!$A:$F,6,FALSE),0)))</f>
      </c>
      <c r="H457" s="10">
        <f>IF(OR(D457="",G457="",F457=0),"",D457*G457*(100/F457))</f>
      </c>
      <c r="I457" s="5"/>
    </row>
    <row r="458" spans="1:9" x14ac:dyDescent="0.25">
      <c r="A458" s="7"/>
      <c r="B458" s="8">
        <f>IF(C458="","",IF(ISNUMBER(MATCH(C458,Insumos!$A:$A,0)),"insumo",IF(ISNUMBER(MATCH(C458,Preparos!$A:$A,0)),"preparo","")))</f>
      </c>
      <c r="C458" s="7"/>
      <c r="D458" s="7"/>
      <c r="E458" s="8">
        <f>IF(C458="","",IFERROR(VLOOKUP(C458,Insumos!$A:$I,9,FALSE),IFERROR(VLOOKUP(C458,Preparos!$A:$D,4,FALSE),"")))</f>
      </c>
      <c r="F458" s="8">
        <f>IF(C458="","",IFERROR(VLOOKUP(C458,Insumos!$A:$G,7,FALSE),100))</f>
      </c>
      <c r="G458" s="9">
        <f>IF(C458="","",IFERROR(VLOOKUP(C458,Insumos!$A:$J,10,FALSE),IFERROR(VLOOKUP(C458,Preparos!$A:$F,6,FALSE),0)))</f>
      </c>
      <c r="H458" s="10">
        <f>IF(OR(D458="",G458="",F458=0),"",D458*G458*(100/F458))</f>
      </c>
      <c r="I458" s="5"/>
    </row>
    <row r="459" spans="1:9" x14ac:dyDescent="0.25">
      <c r="A459" s="7"/>
      <c r="B459" s="8">
        <f>IF(C459="","",IF(ISNUMBER(MATCH(C459,Insumos!$A:$A,0)),"insumo",IF(ISNUMBER(MATCH(C459,Preparos!$A:$A,0)),"preparo","")))</f>
      </c>
      <c r="C459" s="7"/>
      <c r="D459" s="7"/>
      <c r="E459" s="8">
        <f>IF(C459="","",IFERROR(VLOOKUP(C459,Insumos!$A:$I,9,FALSE),IFERROR(VLOOKUP(C459,Preparos!$A:$D,4,FALSE),"")))</f>
      </c>
      <c r="F459" s="8">
        <f>IF(C459="","",IFERROR(VLOOKUP(C459,Insumos!$A:$G,7,FALSE),100))</f>
      </c>
      <c r="G459" s="9">
        <f>IF(C459="","",IFERROR(VLOOKUP(C459,Insumos!$A:$J,10,FALSE),IFERROR(VLOOKUP(C459,Preparos!$A:$F,6,FALSE),0)))</f>
      </c>
      <c r="H459" s="10">
        <f>IF(OR(D459="",G459="",F459=0),"",D459*G459*(100/F459))</f>
      </c>
      <c r="I459" s="5"/>
    </row>
    <row r="460" spans="1:9" x14ac:dyDescent="0.25">
      <c r="A460" s="7"/>
      <c r="B460" s="8">
        <f>IF(C460="","",IF(ISNUMBER(MATCH(C460,Insumos!$A:$A,0)),"insumo",IF(ISNUMBER(MATCH(C460,Preparos!$A:$A,0)),"preparo","")))</f>
      </c>
      <c r="C460" s="7"/>
      <c r="D460" s="7"/>
      <c r="E460" s="8">
        <f>IF(C460="","",IFERROR(VLOOKUP(C460,Insumos!$A:$I,9,FALSE),IFERROR(VLOOKUP(C460,Preparos!$A:$D,4,FALSE),"")))</f>
      </c>
      <c r="F460" s="8">
        <f>IF(C460="","",IFERROR(VLOOKUP(C460,Insumos!$A:$G,7,FALSE),100))</f>
      </c>
      <c r="G460" s="9">
        <f>IF(C460="","",IFERROR(VLOOKUP(C460,Insumos!$A:$J,10,FALSE),IFERROR(VLOOKUP(C460,Preparos!$A:$F,6,FALSE),0)))</f>
      </c>
      <c r="H460" s="10">
        <f>IF(OR(D460="",G460="",F460=0),"",D460*G460*(100/F460))</f>
      </c>
      <c r="I460" s="5"/>
    </row>
    <row r="461" spans="1:9" x14ac:dyDescent="0.25">
      <c r="A461" s="7"/>
      <c r="B461" s="8">
        <f>IF(C461="","",IF(ISNUMBER(MATCH(C461,Insumos!$A:$A,0)),"insumo",IF(ISNUMBER(MATCH(C461,Preparos!$A:$A,0)),"preparo","")))</f>
      </c>
      <c r="C461" s="7"/>
      <c r="D461" s="7"/>
      <c r="E461" s="8">
        <f>IF(C461="","",IFERROR(VLOOKUP(C461,Insumos!$A:$I,9,FALSE),IFERROR(VLOOKUP(C461,Preparos!$A:$D,4,FALSE),"")))</f>
      </c>
      <c r="F461" s="8">
        <f>IF(C461="","",IFERROR(VLOOKUP(C461,Insumos!$A:$G,7,FALSE),100))</f>
      </c>
      <c r="G461" s="9">
        <f>IF(C461="","",IFERROR(VLOOKUP(C461,Insumos!$A:$J,10,FALSE),IFERROR(VLOOKUP(C461,Preparos!$A:$F,6,FALSE),0)))</f>
      </c>
      <c r="H461" s="10">
        <f>IF(OR(D461="",G461="",F461=0),"",D461*G461*(100/F461))</f>
      </c>
      <c r="I461" s="5"/>
    </row>
    <row r="462" spans="1:9" x14ac:dyDescent="0.25">
      <c r="A462" s="7"/>
      <c r="B462" s="8">
        <f>IF(C462="","",IF(ISNUMBER(MATCH(C462,Insumos!$A:$A,0)),"insumo",IF(ISNUMBER(MATCH(C462,Preparos!$A:$A,0)),"preparo","")))</f>
      </c>
      <c r="C462" s="7"/>
      <c r="D462" s="7"/>
      <c r="E462" s="8">
        <f>IF(C462="","",IFERROR(VLOOKUP(C462,Insumos!$A:$I,9,FALSE),IFERROR(VLOOKUP(C462,Preparos!$A:$D,4,FALSE),"")))</f>
      </c>
      <c r="F462" s="8">
        <f>IF(C462="","",IFERROR(VLOOKUP(C462,Insumos!$A:$G,7,FALSE),100))</f>
      </c>
      <c r="G462" s="9">
        <f>IF(C462="","",IFERROR(VLOOKUP(C462,Insumos!$A:$J,10,FALSE),IFERROR(VLOOKUP(C462,Preparos!$A:$F,6,FALSE),0)))</f>
      </c>
      <c r="H462" s="10">
        <f>IF(OR(D462="",G462="",F462=0),"",D462*G462*(100/F462))</f>
      </c>
      <c r="I462" s="5"/>
    </row>
    <row r="463" spans="1:9" x14ac:dyDescent="0.25">
      <c r="A463" s="7"/>
      <c r="B463" s="8">
        <f>IF(C463="","",IF(ISNUMBER(MATCH(C463,Insumos!$A:$A,0)),"insumo",IF(ISNUMBER(MATCH(C463,Preparos!$A:$A,0)),"preparo","")))</f>
      </c>
      <c r="C463" s="7"/>
      <c r="D463" s="7"/>
      <c r="E463" s="8">
        <f>IF(C463="","",IFERROR(VLOOKUP(C463,Insumos!$A:$I,9,FALSE),IFERROR(VLOOKUP(C463,Preparos!$A:$D,4,FALSE),"")))</f>
      </c>
      <c r="F463" s="8">
        <f>IF(C463="","",IFERROR(VLOOKUP(C463,Insumos!$A:$G,7,FALSE),100))</f>
      </c>
      <c r="G463" s="9">
        <f>IF(C463="","",IFERROR(VLOOKUP(C463,Insumos!$A:$J,10,FALSE),IFERROR(VLOOKUP(C463,Preparos!$A:$F,6,FALSE),0)))</f>
      </c>
      <c r="H463" s="10">
        <f>IF(OR(D463="",G463="",F463=0),"",D463*G463*(100/F463))</f>
      </c>
      <c r="I463" s="5"/>
    </row>
    <row r="464" spans="1:9" x14ac:dyDescent="0.25">
      <c r="A464" s="7"/>
      <c r="B464" s="8">
        <f>IF(C464="","",IF(ISNUMBER(MATCH(C464,Insumos!$A:$A,0)),"insumo",IF(ISNUMBER(MATCH(C464,Preparos!$A:$A,0)),"preparo","")))</f>
      </c>
      <c r="C464" s="7"/>
      <c r="D464" s="7"/>
      <c r="E464" s="8">
        <f>IF(C464="","",IFERROR(VLOOKUP(C464,Insumos!$A:$I,9,FALSE),IFERROR(VLOOKUP(C464,Preparos!$A:$D,4,FALSE),"")))</f>
      </c>
      <c r="F464" s="8">
        <f>IF(C464="","",IFERROR(VLOOKUP(C464,Insumos!$A:$G,7,FALSE),100))</f>
      </c>
      <c r="G464" s="9">
        <f>IF(C464="","",IFERROR(VLOOKUP(C464,Insumos!$A:$J,10,FALSE),IFERROR(VLOOKUP(C464,Preparos!$A:$F,6,FALSE),0)))</f>
      </c>
      <c r="H464" s="10">
        <f>IF(OR(D464="",G464="",F464=0),"",D464*G464*(100/F464))</f>
      </c>
      <c r="I464" s="5"/>
    </row>
    <row r="465" spans="1:9" x14ac:dyDescent="0.25">
      <c r="A465" s="7"/>
      <c r="B465" s="8">
        <f>IF(C465="","",IF(ISNUMBER(MATCH(C465,Insumos!$A:$A,0)),"insumo",IF(ISNUMBER(MATCH(C465,Preparos!$A:$A,0)),"preparo","")))</f>
      </c>
      <c r="C465" s="7"/>
      <c r="D465" s="7"/>
      <c r="E465" s="8">
        <f>IF(C465="","",IFERROR(VLOOKUP(C465,Insumos!$A:$I,9,FALSE),IFERROR(VLOOKUP(C465,Preparos!$A:$D,4,FALSE),"")))</f>
      </c>
      <c r="F465" s="8">
        <f>IF(C465="","",IFERROR(VLOOKUP(C465,Insumos!$A:$G,7,FALSE),100))</f>
      </c>
      <c r="G465" s="9">
        <f>IF(C465="","",IFERROR(VLOOKUP(C465,Insumos!$A:$J,10,FALSE),IFERROR(VLOOKUP(C465,Preparos!$A:$F,6,FALSE),0)))</f>
      </c>
      <c r="H465" s="10">
        <f>IF(OR(D465="",G465="",F465=0),"",D465*G465*(100/F465))</f>
      </c>
      <c r="I465" s="5"/>
    </row>
    <row r="466" spans="1:9" x14ac:dyDescent="0.25">
      <c r="A466" s="7"/>
      <c r="B466" s="8">
        <f>IF(C466="","",IF(ISNUMBER(MATCH(C466,Insumos!$A:$A,0)),"insumo",IF(ISNUMBER(MATCH(C466,Preparos!$A:$A,0)),"preparo","")))</f>
      </c>
      <c r="C466" s="7"/>
      <c r="D466" s="7"/>
      <c r="E466" s="8">
        <f>IF(C466="","",IFERROR(VLOOKUP(C466,Insumos!$A:$I,9,FALSE),IFERROR(VLOOKUP(C466,Preparos!$A:$D,4,FALSE),"")))</f>
      </c>
      <c r="F466" s="8">
        <f>IF(C466="","",IFERROR(VLOOKUP(C466,Insumos!$A:$G,7,FALSE),100))</f>
      </c>
      <c r="G466" s="9">
        <f>IF(C466="","",IFERROR(VLOOKUP(C466,Insumos!$A:$J,10,FALSE),IFERROR(VLOOKUP(C466,Preparos!$A:$F,6,FALSE),0)))</f>
      </c>
      <c r="H466" s="10">
        <f>IF(OR(D466="",G466="",F466=0),"",D466*G466*(100/F466))</f>
      </c>
      <c r="I466" s="5"/>
    </row>
    <row r="467" spans="1:9" x14ac:dyDescent="0.25">
      <c r="A467" s="7"/>
      <c r="B467" s="8">
        <f>IF(C467="","",IF(ISNUMBER(MATCH(C467,Insumos!$A:$A,0)),"insumo",IF(ISNUMBER(MATCH(C467,Preparos!$A:$A,0)),"preparo","")))</f>
      </c>
      <c r="C467" s="7"/>
      <c r="D467" s="7"/>
      <c r="E467" s="8">
        <f>IF(C467="","",IFERROR(VLOOKUP(C467,Insumos!$A:$I,9,FALSE),IFERROR(VLOOKUP(C467,Preparos!$A:$D,4,FALSE),"")))</f>
      </c>
      <c r="F467" s="8">
        <f>IF(C467="","",IFERROR(VLOOKUP(C467,Insumos!$A:$G,7,FALSE),100))</f>
      </c>
      <c r="G467" s="9">
        <f>IF(C467="","",IFERROR(VLOOKUP(C467,Insumos!$A:$J,10,FALSE),IFERROR(VLOOKUP(C467,Preparos!$A:$F,6,FALSE),0)))</f>
      </c>
      <c r="H467" s="10">
        <f>IF(OR(D467="",G467="",F467=0),"",D467*G467*(100/F467))</f>
      </c>
      <c r="I467" s="5"/>
    </row>
    <row r="468" spans="1:9" x14ac:dyDescent="0.25">
      <c r="A468" s="7"/>
      <c r="B468" s="8">
        <f>IF(C468="","",IF(ISNUMBER(MATCH(C468,Insumos!$A:$A,0)),"insumo",IF(ISNUMBER(MATCH(C468,Preparos!$A:$A,0)),"preparo","")))</f>
      </c>
      <c r="C468" s="7"/>
      <c r="D468" s="7"/>
      <c r="E468" s="8">
        <f>IF(C468="","",IFERROR(VLOOKUP(C468,Insumos!$A:$I,9,FALSE),IFERROR(VLOOKUP(C468,Preparos!$A:$D,4,FALSE),"")))</f>
      </c>
      <c r="F468" s="8">
        <f>IF(C468="","",IFERROR(VLOOKUP(C468,Insumos!$A:$G,7,FALSE),100))</f>
      </c>
      <c r="G468" s="9">
        <f>IF(C468="","",IFERROR(VLOOKUP(C468,Insumos!$A:$J,10,FALSE),IFERROR(VLOOKUP(C468,Preparos!$A:$F,6,FALSE),0)))</f>
      </c>
      <c r="H468" s="10">
        <f>IF(OR(D468="",G468="",F468=0),"",D468*G468*(100/F468))</f>
      </c>
      <c r="I468" s="5"/>
    </row>
    <row r="469" spans="1:9" x14ac:dyDescent="0.25">
      <c r="A469" s="7"/>
      <c r="B469" s="8">
        <f>IF(C469="","",IF(ISNUMBER(MATCH(C469,Insumos!$A:$A,0)),"insumo",IF(ISNUMBER(MATCH(C469,Preparos!$A:$A,0)),"preparo","")))</f>
      </c>
      <c r="C469" s="7"/>
      <c r="D469" s="7"/>
      <c r="E469" s="8">
        <f>IF(C469="","",IFERROR(VLOOKUP(C469,Insumos!$A:$I,9,FALSE),IFERROR(VLOOKUP(C469,Preparos!$A:$D,4,FALSE),"")))</f>
      </c>
      <c r="F469" s="8">
        <f>IF(C469="","",IFERROR(VLOOKUP(C469,Insumos!$A:$G,7,FALSE),100))</f>
      </c>
      <c r="G469" s="9">
        <f>IF(C469="","",IFERROR(VLOOKUP(C469,Insumos!$A:$J,10,FALSE),IFERROR(VLOOKUP(C469,Preparos!$A:$F,6,FALSE),0)))</f>
      </c>
      <c r="H469" s="10">
        <f>IF(OR(D469="",G469="",F469=0),"",D469*G469*(100/F469))</f>
      </c>
      <c r="I469" s="5"/>
    </row>
    <row r="470" spans="1:9" x14ac:dyDescent="0.25">
      <c r="A470" s="7"/>
      <c r="B470" s="8">
        <f>IF(C470="","",IF(ISNUMBER(MATCH(C470,Insumos!$A:$A,0)),"insumo",IF(ISNUMBER(MATCH(C470,Preparos!$A:$A,0)),"preparo","")))</f>
      </c>
      <c r="C470" s="7"/>
      <c r="D470" s="7"/>
      <c r="E470" s="8">
        <f>IF(C470="","",IFERROR(VLOOKUP(C470,Insumos!$A:$I,9,FALSE),IFERROR(VLOOKUP(C470,Preparos!$A:$D,4,FALSE),"")))</f>
      </c>
      <c r="F470" s="8">
        <f>IF(C470="","",IFERROR(VLOOKUP(C470,Insumos!$A:$G,7,FALSE),100))</f>
      </c>
      <c r="G470" s="9">
        <f>IF(C470="","",IFERROR(VLOOKUP(C470,Insumos!$A:$J,10,FALSE),IFERROR(VLOOKUP(C470,Preparos!$A:$F,6,FALSE),0)))</f>
      </c>
      <c r="H470" s="10">
        <f>IF(OR(D470="",G470="",F470=0),"",D470*G470*(100/F470))</f>
      </c>
      <c r="I470" s="5"/>
    </row>
    <row r="471" spans="1:9" x14ac:dyDescent="0.25">
      <c r="A471" s="7"/>
      <c r="B471" s="8">
        <f>IF(C471="","",IF(ISNUMBER(MATCH(C471,Insumos!$A:$A,0)),"insumo",IF(ISNUMBER(MATCH(C471,Preparos!$A:$A,0)),"preparo","")))</f>
      </c>
      <c r="C471" s="7"/>
      <c r="D471" s="7"/>
      <c r="E471" s="8">
        <f>IF(C471="","",IFERROR(VLOOKUP(C471,Insumos!$A:$I,9,FALSE),IFERROR(VLOOKUP(C471,Preparos!$A:$D,4,FALSE),"")))</f>
      </c>
      <c r="F471" s="8">
        <f>IF(C471="","",IFERROR(VLOOKUP(C471,Insumos!$A:$G,7,FALSE),100))</f>
      </c>
      <c r="G471" s="9">
        <f>IF(C471="","",IFERROR(VLOOKUP(C471,Insumos!$A:$J,10,FALSE),IFERROR(VLOOKUP(C471,Preparos!$A:$F,6,FALSE),0)))</f>
      </c>
      <c r="H471" s="10">
        <f>IF(OR(D471="",G471="",F471=0),"",D471*G471*(100/F471))</f>
      </c>
      <c r="I471" s="5"/>
    </row>
    <row r="472" spans="1:9" x14ac:dyDescent="0.25">
      <c r="A472" s="7"/>
      <c r="B472" s="8">
        <f>IF(C472="","",IF(ISNUMBER(MATCH(C472,Insumos!$A:$A,0)),"insumo",IF(ISNUMBER(MATCH(C472,Preparos!$A:$A,0)),"preparo","")))</f>
      </c>
      <c r="C472" s="7"/>
      <c r="D472" s="7"/>
      <c r="E472" s="8">
        <f>IF(C472="","",IFERROR(VLOOKUP(C472,Insumos!$A:$I,9,FALSE),IFERROR(VLOOKUP(C472,Preparos!$A:$D,4,FALSE),"")))</f>
      </c>
      <c r="F472" s="8">
        <f>IF(C472="","",IFERROR(VLOOKUP(C472,Insumos!$A:$G,7,FALSE),100))</f>
      </c>
      <c r="G472" s="9">
        <f>IF(C472="","",IFERROR(VLOOKUP(C472,Insumos!$A:$J,10,FALSE),IFERROR(VLOOKUP(C472,Preparos!$A:$F,6,FALSE),0)))</f>
      </c>
      <c r="H472" s="10">
        <f>IF(OR(D472="",G472="",F472=0),"",D472*G472*(100/F472))</f>
      </c>
      <c r="I472" s="5"/>
    </row>
    <row r="473" spans="1:9" x14ac:dyDescent="0.25">
      <c r="A473" s="7"/>
      <c r="B473" s="8">
        <f>IF(C473="","",IF(ISNUMBER(MATCH(C473,Insumos!$A:$A,0)),"insumo",IF(ISNUMBER(MATCH(C473,Preparos!$A:$A,0)),"preparo","")))</f>
      </c>
      <c r="C473" s="7"/>
      <c r="D473" s="7"/>
      <c r="E473" s="8">
        <f>IF(C473="","",IFERROR(VLOOKUP(C473,Insumos!$A:$I,9,FALSE),IFERROR(VLOOKUP(C473,Preparos!$A:$D,4,FALSE),"")))</f>
      </c>
      <c r="F473" s="8">
        <f>IF(C473="","",IFERROR(VLOOKUP(C473,Insumos!$A:$G,7,FALSE),100))</f>
      </c>
      <c r="G473" s="9">
        <f>IF(C473="","",IFERROR(VLOOKUP(C473,Insumos!$A:$J,10,FALSE),IFERROR(VLOOKUP(C473,Preparos!$A:$F,6,FALSE),0)))</f>
      </c>
      <c r="H473" s="10">
        <f>IF(OR(D473="",G473="",F473=0),"",D473*G473*(100/F473))</f>
      </c>
      <c r="I473" s="5"/>
    </row>
    <row r="474" spans="1:9" x14ac:dyDescent="0.25">
      <c r="A474" s="7"/>
      <c r="B474" s="8">
        <f>IF(C474="","",IF(ISNUMBER(MATCH(C474,Insumos!$A:$A,0)),"insumo",IF(ISNUMBER(MATCH(C474,Preparos!$A:$A,0)),"preparo","")))</f>
      </c>
      <c r="C474" s="7"/>
      <c r="D474" s="7"/>
      <c r="E474" s="8">
        <f>IF(C474="","",IFERROR(VLOOKUP(C474,Insumos!$A:$I,9,FALSE),IFERROR(VLOOKUP(C474,Preparos!$A:$D,4,FALSE),"")))</f>
      </c>
      <c r="F474" s="8">
        <f>IF(C474="","",IFERROR(VLOOKUP(C474,Insumos!$A:$G,7,FALSE),100))</f>
      </c>
      <c r="G474" s="9">
        <f>IF(C474="","",IFERROR(VLOOKUP(C474,Insumos!$A:$J,10,FALSE),IFERROR(VLOOKUP(C474,Preparos!$A:$F,6,FALSE),0)))</f>
      </c>
      <c r="H474" s="10">
        <f>IF(OR(D474="",G474="",F474=0),"",D474*G474*(100/F474))</f>
      </c>
      <c r="I474" s="5"/>
    </row>
    <row r="475" spans="1:9" x14ac:dyDescent="0.25">
      <c r="A475" s="7"/>
      <c r="B475" s="8">
        <f>IF(C475="","",IF(ISNUMBER(MATCH(C475,Insumos!$A:$A,0)),"insumo",IF(ISNUMBER(MATCH(C475,Preparos!$A:$A,0)),"preparo","")))</f>
      </c>
      <c r="C475" s="7"/>
      <c r="D475" s="7"/>
      <c r="E475" s="8">
        <f>IF(C475="","",IFERROR(VLOOKUP(C475,Insumos!$A:$I,9,FALSE),IFERROR(VLOOKUP(C475,Preparos!$A:$D,4,FALSE),"")))</f>
      </c>
      <c r="F475" s="8">
        <f>IF(C475="","",IFERROR(VLOOKUP(C475,Insumos!$A:$G,7,FALSE),100))</f>
      </c>
      <c r="G475" s="9">
        <f>IF(C475="","",IFERROR(VLOOKUP(C475,Insumos!$A:$J,10,FALSE),IFERROR(VLOOKUP(C475,Preparos!$A:$F,6,FALSE),0)))</f>
      </c>
      <c r="H475" s="10">
        <f>IF(OR(D475="",G475="",F475=0),"",D475*G475*(100/F475))</f>
      </c>
      <c r="I475" s="5"/>
    </row>
    <row r="476" spans="1:9" x14ac:dyDescent="0.25">
      <c r="A476" s="7"/>
      <c r="B476" s="8">
        <f>IF(C476="","",IF(ISNUMBER(MATCH(C476,Insumos!$A:$A,0)),"insumo",IF(ISNUMBER(MATCH(C476,Preparos!$A:$A,0)),"preparo","")))</f>
      </c>
      <c r="C476" s="7"/>
      <c r="D476" s="7"/>
      <c r="E476" s="8">
        <f>IF(C476="","",IFERROR(VLOOKUP(C476,Insumos!$A:$I,9,FALSE),IFERROR(VLOOKUP(C476,Preparos!$A:$D,4,FALSE),"")))</f>
      </c>
      <c r="F476" s="8">
        <f>IF(C476="","",IFERROR(VLOOKUP(C476,Insumos!$A:$G,7,FALSE),100))</f>
      </c>
      <c r="G476" s="9">
        <f>IF(C476="","",IFERROR(VLOOKUP(C476,Insumos!$A:$J,10,FALSE),IFERROR(VLOOKUP(C476,Preparos!$A:$F,6,FALSE),0)))</f>
      </c>
      <c r="H476" s="10">
        <f>IF(OR(D476="",G476="",F476=0),"",D476*G476*(100/F476))</f>
      </c>
      <c r="I476" s="5"/>
    </row>
    <row r="477" spans="1:9" x14ac:dyDescent="0.25">
      <c r="A477" s="7"/>
      <c r="B477" s="8">
        <f>IF(C477="","",IF(ISNUMBER(MATCH(C477,Insumos!$A:$A,0)),"insumo",IF(ISNUMBER(MATCH(C477,Preparos!$A:$A,0)),"preparo","")))</f>
      </c>
      <c r="C477" s="7"/>
      <c r="D477" s="7"/>
      <c r="E477" s="8">
        <f>IF(C477="","",IFERROR(VLOOKUP(C477,Insumos!$A:$I,9,FALSE),IFERROR(VLOOKUP(C477,Preparos!$A:$D,4,FALSE),"")))</f>
      </c>
      <c r="F477" s="8">
        <f>IF(C477="","",IFERROR(VLOOKUP(C477,Insumos!$A:$G,7,FALSE),100))</f>
      </c>
      <c r="G477" s="9">
        <f>IF(C477="","",IFERROR(VLOOKUP(C477,Insumos!$A:$J,10,FALSE),IFERROR(VLOOKUP(C477,Preparos!$A:$F,6,FALSE),0)))</f>
      </c>
      <c r="H477" s="10">
        <f>IF(OR(D477="",G477="",F477=0),"",D477*G477*(100/F477))</f>
      </c>
      <c r="I477" s="5"/>
    </row>
    <row r="478" spans="1:9" x14ac:dyDescent="0.25">
      <c r="A478" s="7"/>
      <c r="B478" s="8">
        <f>IF(C478="","",IF(ISNUMBER(MATCH(C478,Insumos!$A:$A,0)),"insumo",IF(ISNUMBER(MATCH(C478,Preparos!$A:$A,0)),"preparo","")))</f>
      </c>
      <c r="C478" s="7"/>
      <c r="D478" s="7"/>
      <c r="E478" s="8">
        <f>IF(C478="","",IFERROR(VLOOKUP(C478,Insumos!$A:$I,9,FALSE),IFERROR(VLOOKUP(C478,Preparos!$A:$D,4,FALSE),"")))</f>
      </c>
      <c r="F478" s="8">
        <f>IF(C478="","",IFERROR(VLOOKUP(C478,Insumos!$A:$G,7,FALSE),100))</f>
      </c>
      <c r="G478" s="9">
        <f>IF(C478="","",IFERROR(VLOOKUP(C478,Insumos!$A:$J,10,FALSE),IFERROR(VLOOKUP(C478,Preparos!$A:$F,6,FALSE),0)))</f>
      </c>
      <c r="H478" s="10">
        <f>IF(OR(D478="",G478="",F478=0),"",D478*G478*(100/F478))</f>
      </c>
      <c r="I478" s="5"/>
    </row>
    <row r="479" spans="1:9" x14ac:dyDescent="0.25">
      <c r="A479" s="7"/>
      <c r="B479" s="8">
        <f>IF(C479="","",IF(ISNUMBER(MATCH(C479,Insumos!$A:$A,0)),"insumo",IF(ISNUMBER(MATCH(C479,Preparos!$A:$A,0)),"preparo","")))</f>
      </c>
      <c r="C479" s="7"/>
      <c r="D479" s="7"/>
      <c r="E479" s="8">
        <f>IF(C479="","",IFERROR(VLOOKUP(C479,Insumos!$A:$I,9,FALSE),IFERROR(VLOOKUP(C479,Preparos!$A:$D,4,FALSE),"")))</f>
      </c>
      <c r="F479" s="8">
        <f>IF(C479="","",IFERROR(VLOOKUP(C479,Insumos!$A:$G,7,FALSE),100))</f>
      </c>
      <c r="G479" s="9">
        <f>IF(C479="","",IFERROR(VLOOKUP(C479,Insumos!$A:$J,10,FALSE),IFERROR(VLOOKUP(C479,Preparos!$A:$F,6,FALSE),0)))</f>
      </c>
      <c r="H479" s="10">
        <f>IF(OR(D479="",G479="",F479=0),"",D479*G479*(100/F479))</f>
      </c>
      <c r="I479" s="5"/>
    </row>
    <row r="480" spans="1:9" x14ac:dyDescent="0.25">
      <c r="A480" s="7"/>
      <c r="B480" s="8">
        <f>IF(C480="","",IF(ISNUMBER(MATCH(C480,Insumos!$A:$A,0)),"insumo",IF(ISNUMBER(MATCH(C480,Preparos!$A:$A,0)),"preparo","")))</f>
      </c>
      <c r="C480" s="7"/>
      <c r="D480" s="7"/>
      <c r="E480" s="8">
        <f>IF(C480="","",IFERROR(VLOOKUP(C480,Insumos!$A:$I,9,FALSE),IFERROR(VLOOKUP(C480,Preparos!$A:$D,4,FALSE),"")))</f>
      </c>
      <c r="F480" s="8">
        <f>IF(C480="","",IFERROR(VLOOKUP(C480,Insumos!$A:$G,7,FALSE),100))</f>
      </c>
      <c r="G480" s="9">
        <f>IF(C480="","",IFERROR(VLOOKUP(C480,Insumos!$A:$J,10,FALSE),IFERROR(VLOOKUP(C480,Preparos!$A:$F,6,FALSE),0)))</f>
      </c>
      <c r="H480" s="10">
        <f>IF(OR(D480="",G480="",F480=0),"",D480*G480*(100/F480))</f>
      </c>
      <c r="I480" s="5"/>
    </row>
    <row r="481" spans="1:9" x14ac:dyDescent="0.25">
      <c r="A481" s="7"/>
      <c r="B481" s="8">
        <f>IF(C481="","",IF(ISNUMBER(MATCH(C481,Insumos!$A:$A,0)),"insumo",IF(ISNUMBER(MATCH(C481,Preparos!$A:$A,0)),"preparo","")))</f>
      </c>
      <c r="C481" s="7"/>
      <c r="D481" s="7"/>
      <c r="E481" s="8">
        <f>IF(C481="","",IFERROR(VLOOKUP(C481,Insumos!$A:$I,9,FALSE),IFERROR(VLOOKUP(C481,Preparos!$A:$D,4,FALSE),"")))</f>
      </c>
      <c r="F481" s="8">
        <f>IF(C481="","",IFERROR(VLOOKUP(C481,Insumos!$A:$G,7,FALSE),100))</f>
      </c>
      <c r="G481" s="9">
        <f>IF(C481="","",IFERROR(VLOOKUP(C481,Insumos!$A:$J,10,FALSE),IFERROR(VLOOKUP(C481,Preparos!$A:$F,6,FALSE),0)))</f>
      </c>
      <c r="H481" s="10">
        <f>IF(OR(D481="",G481="",F481=0),"",D481*G481*(100/F481))</f>
      </c>
      <c r="I481" s="5"/>
    </row>
    <row r="482" spans="1:9" x14ac:dyDescent="0.25">
      <c r="A482" s="7"/>
      <c r="B482" s="8">
        <f>IF(C482="","",IF(ISNUMBER(MATCH(C482,Insumos!$A:$A,0)),"insumo",IF(ISNUMBER(MATCH(C482,Preparos!$A:$A,0)),"preparo","")))</f>
      </c>
      <c r="C482" s="7"/>
      <c r="D482" s="7"/>
      <c r="E482" s="8">
        <f>IF(C482="","",IFERROR(VLOOKUP(C482,Insumos!$A:$I,9,FALSE),IFERROR(VLOOKUP(C482,Preparos!$A:$D,4,FALSE),"")))</f>
      </c>
      <c r="F482" s="8">
        <f>IF(C482="","",IFERROR(VLOOKUP(C482,Insumos!$A:$G,7,FALSE),100))</f>
      </c>
      <c r="G482" s="9">
        <f>IF(C482="","",IFERROR(VLOOKUP(C482,Insumos!$A:$J,10,FALSE),IFERROR(VLOOKUP(C482,Preparos!$A:$F,6,FALSE),0)))</f>
      </c>
      <c r="H482" s="10">
        <f>IF(OR(D482="",G482="",F482=0),"",D482*G482*(100/F482))</f>
      </c>
      <c r="I482" s="5"/>
    </row>
    <row r="483" spans="1:9" x14ac:dyDescent="0.25">
      <c r="A483" s="7"/>
      <c r="B483" s="8">
        <f>IF(C483="","",IF(ISNUMBER(MATCH(C483,Insumos!$A:$A,0)),"insumo",IF(ISNUMBER(MATCH(C483,Preparos!$A:$A,0)),"preparo","")))</f>
      </c>
      <c r="C483" s="7"/>
      <c r="D483" s="7"/>
      <c r="E483" s="8">
        <f>IF(C483="","",IFERROR(VLOOKUP(C483,Insumos!$A:$I,9,FALSE),IFERROR(VLOOKUP(C483,Preparos!$A:$D,4,FALSE),"")))</f>
      </c>
      <c r="F483" s="8">
        <f>IF(C483="","",IFERROR(VLOOKUP(C483,Insumos!$A:$G,7,FALSE),100))</f>
      </c>
      <c r="G483" s="9">
        <f>IF(C483="","",IFERROR(VLOOKUP(C483,Insumos!$A:$J,10,FALSE),IFERROR(VLOOKUP(C483,Preparos!$A:$F,6,FALSE),0)))</f>
      </c>
      <c r="H483" s="10">
        <f>IF(OR(D483="",G483="",F483=0),"",D483*G483*(100/F483))</f>
      </c>
      <c r="I483" s="5"/>
    </row>
    <row r="484" spans="1:9" x14ac:dyDescent="0.25">
      <c r="A484" s="7"/>
      <c r="B484" s="8">
        <f>IF(C484="","",IF(ISNUMBER(MATCH(C484,Insumos!$A:$A,0)),"insumo",IF(ISNUMBER(MATCH(C484,Preparos!$A:$A,0)),"preparo","")))</f>
      </c>
      <c r="C484" s="7"/>
      <c r="D484" s="7"/>
      <c r="E484" s="8">
        <f>IF(C484="","",IFERROR(VLOOKUP(C484,Insumos!$A:$I,9,FALSE),IFERROR(VLOOKUP(C484,Preparos!$A:$D,4,FALSE),"")))</f>
      </c>
      <c r="F484" s="8">
        <f>IF(C484="","",IFERROR(VLOOKUP(C484,Insumos!$A:$G,7,FALSE),100))</f>
      </c>
      <c r="G484" s="9">
        <f>IF(C484="","",IFERROR(VLOOKUP(C484,Insumos!$A:$J,10,FALSE),IFERROR(VLOOKUP(C484,Preparos!$A:$F,6,FALSE),0)))</f>
      </c>
      <c r="H484" s="10">
        <f>IF(OR(D484="",G484="",F484=0),"",D484*G484*(100/F484))</f>
      </c>
      <c r="I484" s="5"/>
    </row>
    <row r="485" spans="1:9" x14ac:dyDescent="0.25">
      <c r="A485" s="7"/>
      <c r="B485" s="8">
        <f>IF(C485="","",IF(ISNUMBER(MATCH(C485,Insumos!$A:$A,0)),"insumo",IF(ISNUMBER(MATCH(C485,Preparos!$A:$A,0)),"preparo","")))</f>
      </c>
      <c r="C485" s="7"/>
      <c r="D485" s="7"/>
      <c r="E485" s="8">
        <f>IF(C485="","",IFERROR(VLOOKUP(C485,Insumos!$A:$I,9,FALSE),IFERROR(VLOOKUP(C485,Preparos!$A:$D,4,FALSE),"")))</f>
      </c>
      <c r="F485" s="8">
        <f>IF(C485="","",IFERROR(VLOOKUP(C485,Insumos!$A:$G,7,FALSE),100))</f>
      </c>
      <c r="G485" s="9">
        <f>IF(C485="","",IFERROR(VLOOKUP(C485,Insumos!$A:$J,10,FALSE),IFERROR(VLOOKUP(C485,Preparos!$A:$F,6,FALSE),0)))</f>
      </c>
      <c r="H485" s="10">
        <f>IF(OR(D485="",G485="",F485=0),"",D485*G485*(100/F485))</f>
      </c>
      <c r="I485" s="5"/>
    </row>
    <row r="486" spans="1:9" x14ac:dyDescent="0.25">
      <c r="A486" s="7"/>
      <c r="B486" s="8">
        <f>IF(C486="","",IF(ISNUMBER(MATCH(C486,Insumos!$A:$A,0)),"insumo",IF(ISNUMBER(MATCH(C486,Preparos!$A:$A,0)),"preparo","")))</f>
      </c>
      <c r="C486" s="7"/>
      <c r="D486" s="7"/>
      <c r="E486" s="8">
        <f>IF(C486="","",IFERROR(VLOOKUP(C486,Insumos!$A:$I,9,FALSE),IFERROR(VLOOKUP(C486,Preparos!$A:$D,4,FALSE),"")))</f>
      </c>
      <c r="F486" s="8">
        <f>IF(C486="","",IFERROR(VLOOKUP(C486,Insumos!$A:$G,7,FALSE),100))</f>
      </c>
      <c r="G486" s="9">
        <f>IF(C486="","",IFERROR(VLOOKUP(C486,Insumos!$A:$J,10,FALSE),IFERROR(VLOOKUP(C486,Preparos!$A:$F,6,FALSE),0)))</f>
      </c>
      <c r="H486" s="10">
        <f>IF(OR(D486="",G486="",F486=0),"",D486*G486*(100/F486))</f>
      </c>
      <c r="I486" s="5"/>
    </row>
    <row r="487" spans="1:9" x14ac:dyDescent="0.25">
      <c r="A487" s="7"/>
      <c r="B487" s="8">
        <f>IF(C487="","",IF(ISNUMBER(MATCH(C487,Insumos!$A:$A,0)),"insumo",IF(ISNUMBER(MATCH(C487,Preparos!$A:$A,0)),"preparo","")))</f>
      </c>
      <c r="C487" s="7"/>
      <c r="D487" s="7"/>
      <c r="E487" s="8">
        <f>IF(C487="","",IFERROR(VLOOKUP(C487,Insumos!$A:$I,9,FALSE),IFERROR(VLOOKUP(C487,Preparos!$A:$D,4,FALSE),"")))</f>
      </c>
      <c r="F487" s="8">
        <f>IF(C487="","",IFERROR(VLOOKUP(C487,Insumos!$A:$G,7,FALSE),100))</f>
      </c>
      <c r="G487" s="9">
        <f>IF(C487="","",IFERROR(VLOOKUP(C487,Insumos!$A:$J,10,FALSE),IFERROR(VLOOKUP(C487,Preparos!$A:$F,6,FALSE),0)))</f>
      </c>
      <c r="H487" s="10">
        <f>IF(OR(D487="",G487="",F487=0),"",D487*G487*(100/F487))</f>
      </c>
      <c r="I487" s="5"/>
    </row>
    <row r="488" spans="1:9" x14ac:dyDescent="0.25">
      <c r="A488" s="7"/>
      <c r="B488" s="8">
        <f>IF(C488="","",IF(ISNUMBER(MATCH(C488,Insumos!$A:$A,0)),"insumo",IF(ISNUMBER(MATCH(C488,Preparos!$A:$A,0)),"preparo","")))</f>
      </c>
      <c r="C488" s="7"/>
      <c r="D488" s="7"/>
      <c r="E488" s="8">
        <f>IF(C488="","",IFERROR(VLOOKUP(C488,Insumos!$A:$I,9,FALSE),IFERROR(VLOOKUP(C488,Preparos!$A:$D,4,FALSE),"")))</f>
      </c>
      <c r="F488" s="8">
        <f>IF(C488="","",IFERROR(VLOOKUP(C488,Insumos!$A:$G,7,FALSE),100))</f>
      </c>
      <c r="G488" s="9">
        <f>IF(C488="","",IFERROR(VLOOKUP(C488,Insumos!$A:$J,10,FALSE),IFERROR(VLOOKUP(C488,Preparos!$A:$F,6,FALSE),0)))</f>
      </c>
      <c r="H488" s="10">
        <f>IF(OR(D488="",G488="",F488=0),"",D488*G488*(100/F488))</f>
      </c>
      <c r="I488" s="5"/>
    </row>
    <row r="489" spans="1:9" x14ac:dyDescent="0.25">
      <c r="A489" s="7"/>
      <c r="B489" s="8">
        <f>IF(C489="","",IF(ISNUMBER(MATCH(C489,Insumos!$A:$A,0)),"insumo",IF(ISNUMBER(MATCH(C489,Preparos!$A:$A,0)),"preparo","")))</f>
      </c>
      <c r="C489" s="7"/>
      <c r="D489" s="7"/>
      <c r="E489" s="8">
        <f>IF(C489="","",IFERROR(VLOOKUP(C489,Insumos!$A:$I,9,FALSE),IFERROR(VLOOKUP(C489,Preparos!$A:$D,4,FALSE),"")))</f>
      </c>
      <c r="F489" s="8">
        <f>IF(C489="","",IFERROR(VLOOKUP(C489,Insumos!$A:$G,7,FALSE),100))</f>
      </c>
      <c r="G489" s="9">
        <f>IF(C489="","",IFERROR(VLOOKUP(C489,Insumos!$A:$J,10,FALSE),IFERROR(VLOOKUP(C489,Preparos!$A:$F,6,FALSE),0)))</f>
      </c>
      <c r="H489" s="10">
        <f>IF(OR(D489="",G489="",F489=0),"",D489*G489*(100/F489))</f>
      </c>
      <c r="I489" s="5"/>
    </row>
    <row r="490" spans="1:9" x14ac:dyDescent="0.25">
      <c r="A490" s="7"/>
      <c r="B490" s="8">
        <f>IF(C490="","",IF(ISNUMBER(MATCH(C490,Insumos!$A:$A,0)),"insumo",IF(ISNUMBER(MATCH(C490,Preparos!$A:$A,0)),"preparo","")))</f>
      </c>
      <c r="C490" s="7"/>
      <c r="D490" s="7"/>
      <c r="E490" s="8">
        <f>IF(C490="","",IFERROR(VLOOKUP(C490,Insumos!$A:$I,9,FALSE),IFERROR(VLOOKUP(C490,Preparos!$A:$D,4,FALSE),"")))</f>
      </c>
      <c r="F490" s="8">
        <f>IF(C490="","",IFERROR(VLOOKUP(C490,Insumos!$A:$G,7,FALSE),100))</f>
      </c>
      <c r="G490" s="9">
        <f>IF(C490="","",IFERROR(VLOOKUP(C490,Insumos!$A:$J,10,FALSE),IFERROR(VLOOKUP(C490,Preparos!$A:$F,6,FALSE),0)))</f>
      </c>
      <c r="H490" s="10">
        <f>IF(OR(D490="",G490="",F490=0),"",D490*G490*(100/F490))</f>
      </c>
      <c r="I490" s="5"/>
    </row>
    <row r="491" spans="1:9" x14ac:dyDescent="0.25">
      <c r="A491" s="7"/>
      <c r="B491" s="8">
        <f>IF(C491="","",IF(ISNUMBER(MATCH(C491,Insumos!$A:$A,0)),"insumo",IF(ISNUMBER(MATCH(C491,Preparos!$A:$A,0)),"preparo","")))</f>
      </c>
      <c r="C491" s="7"/>
      <c r="D491" s="7"/>
      <c r="E491" s="8">
        <f>IF(C491="","",IFERROR(VLOOKUP(C491,Insumos!$A:$I,9,FALSE),IFERROR(VLOOKUP(C491,Preparos!$A:$D,4,FALSE),"")))</f>
      </c>
      <c r="F491" s="8">
        <f>IF(C491="","",IFERROR(VLOOKUP(C491,Insumos!$A:$G,7,FALSE),100))</f>
      </c>
      <c r="G491" s="9">
        <f>IF(C491="","",IFERROR(VLOOKUP(C491,Insumos!$A:$J,10,FALSE),IFERROR(VLOOKUP(C491,Preparos!$A:$F,6,FALSE),0)))</f>
      </c>
      <c r="H491" s="10">
        <f>IF(OR(D491="",G491="",F491=0),"",D491*G491*(100/F491))</f>
      </c>
      <c r="I491" s="5"/>
    </row>
    <row r="492" spans="1:9" x14ac:dyDescent="0.25">
      <c r="A492" s="7"/>
      <c r="B492" s="8">
        <f>IF(C492="","",IF(ISNUMBER(MATCH(C492,Insumos!$A:$A,0)),"insumo",IF(ISNUMBER(MATCH(C492,Preparos!$A:$A,0)),"preparo","")))</f>
      </c>
      <c r="C492" s="7"/>
      <c r="D492" s="7"/>
      <c r="E492" s="8">
        <f>IF(C492="","",IFERROR(VLOOKUP(C492,Insumos!$A:$I,9,FALSE),IFERROR(VLOOKUP(C492,Preparos!$A:$D,4,FALSE),"")))</f>
      </c>
      <c r="F492" s="8">
        <f>IF(C492="","",IFERROR(VLOOKUP(C492,Insumos!$A:$G,7,FALSE),100))</f>
      </c>
      <c r="G492" s="9">
        <f>IF(C492="","",IFERROR(VLOOKUP(C492,Insumos!$A:$J,10,FALSE),IFERROR(VLOOKUP(C492,Preparos!$A:$F,6,FALSE),0)))</f>
      </c>
      <c r="H492" s="10">
        <f>IF(OR(D492="",G492="",F492=0),"",D492*G492*(100/F492))</f>
      </c>
      <c r="I492" s="5"/>
    </row>
    <row r="493" spans="1:9" x14ac:dyDescent="0.25">
      <c r="A493" s="7"/>
      <c r="B493" s="8">
        <f>IF(C493="","",IF(ISNUMBER(MATCH(C493,Insumos!$A:$A,0)),"insumo",IF(ISNUMBER(MATCH(C493,Preparos!$A:$A,0)),"preparo","")))</f>
      </c>
      <c r="C493" s="7"/>
      <c r="D493" s="7"/>
      <c r="E493" s="8">
        <f>IF(C493="","",IFERROR(VLOOKUP(C493,Insumos!$A:$I,9,FALSE),IFERROR(VLOOKUP(C493,Preparos!$A:$D,4,FALSE),"")))</f>
      </c>
      <c r="F493" s="8">
        <f>IF(C493="","",IFERROR(VLOOKUP(C493,Insumos!$A:$G,7,FALSE),100))</f>
      </c>
      <c r="G493" s="9">
        <f>IF(C493="","",IFERROR(VLOOKUP(C493,Insumos!$A:$J,10,FALSE),IFERROR(VLOOKUP(C493,Preparos!$A:$F,6,FALSE),0)))</f>
      </c>
      <c r="H493" s="10">
        <f>IF(OR(D493="",G493="",F493=0),"",D493*G493*(100/F493))</f>
      </c>
      <c r="I493" s="5"/>
    </row>
    <row r="494" spans="1:9" x14ac:dyDescent="0.25">
      <c r="A494" s="7"/>
      <c r="B494" s="8">
        <f>IF(C494="","",IF(ISNUMBER(MATCH(C494,Insumos!$A:$A,0)),"insumo",IF(ISNUMBER(MATCH(C494,Preparos!$A:$A,0)),"preparo","")))</f>
      </c>
      <c r="C494" s="7"/>
      <c r="D494" s="7"/>
      <c r="E494" s="8">
        <f>IF(C494="","",IFERROR(VLOOKUP(C494,Insumos!$A:$I,9,FALSE),IFERROR(VLOOKUP(C494,Preparos!$A:$D,4,FALSE),"")))</f>
      </c>
      <c r="F494" s="8">
        <f>IF(C494="","",IFERROR(VLOOKUP(C494,Insumos!$A:$G,7,FALSE),100))</f>
      </c>
      <c r="G494" s="9">
        <f>IF(C494="","",IFERROR(VLOOKUP(C494,Insumos!$A:$J,10,FALSE),IFERROR(VLOOKUP(C494,Preparos!$A:$F,6,FALSE),0)))</f>
      </c>
      <c r="H494" s="10">
        <f>IF(OR(D494="",G494="",F494=0),"",D494*G494*(100/F494))</f>
      </c>
      <c r="I494" s="5"/>
    </row>
    <row r="495" spans="1:9" x14ac:dyDescent="0.25">
      <c r="A495" s="7"/>
      <c r="B495" s="8">
        <f>IF(C495="","",IF(ISNUMBER(MATCH(C495,Insumos!$A:$A,0)),"insumo",IF(ISNUMBER(MATCH(C495,Preparos!$A:$A,0)),"preparo","")))</f>
      </c>
      <c r="C495" s="7"/>
      <c r="D495" s="7"/>
      <c r="E495" s="8">
        <f>IF(C495="","",IFERROR(VLOOKUP(C495,Insumos!$A:$I,9,FALSE),IFERROR(VLOOKUP(C495,Preparos!$A:$D,4,FALSE),"")))</f>
      </c>
      <c r="F495" s="8">
        <f>IF(C495="","",IFERROR(VLOOKUP(C495,Insumos!$A:$G,7,FALSE),100))</f>
      </c>
      <c r="G495" s="9">
        <f>IF(C495="","",IFERROR(VLOOKUP(C495,Insumos!$A:$J,10,FALSE),IFERROR(VLOOKUP(C495,Preparos!$A:$F,6,FALSE),0)))</f>
      </c>
      <c r="H495" s="10">
        <f>IF(OR(D495="",G495="",F495=0),"",D495*G495*(100/F495))</f>
      </c>
      <c r="I495" s="5"/>
    </row>
    <row r="496" spans="1:9" x14ac:dyDescent="0.25">
      <c r="A496" s="7"/>
      <c r="B496" s="8">
        <f>IF(C496="","",IF(ISNUMBER(MATCH(C496,Insumos!$A:$A,0)),"insumo",IF(ISNUMBER(MATCH(C496,Preparos!$A:$A,0)),"preparo","")))</f>
      </c>
      <c r="C496" s="7"/>
      <c r="D496" s="7"/>
      <c r="E496" s="8">
        <f>IF(C496="","",IFERROR(VLOOKUP(C496,Insumos!$A:$I,9,FALSE),IFERROR(VLOOKUP(C496,Preparos!$A:$D,4,FALSE),"")))</f>
      </c>
      <c r="F496" s="8">
        <f>IF(C496="","",IFERROR(VLOOKUP(C496,Insumos!$A:$G,7,FALSE),100))</f>
      </c>
      <c r="G496" s="9">
        <f>IF(C496="","",IFERROR(VLOOKUP(C496,Insumos!$A:$J,10,FALSE),IFERROR(VLOOKUP(C496,Preparos!$A:$F,6,FALSE),0)))</f>
      </c>
      <c r="H496" s="10">
        <f>IF(OR(D496="",G496="",F496=0),"",D496*G496*(100/F496))</f>
      </c>
      <c r="I496" s="5"/>
    </row>
    <row r="497" spans="1:9" x14ac:dyDescent="0.25">
      <c r="A497" s="7"/>
      <c r="B497" s="8">
        <f>IF(C497="","",IF(ISNUMBER(MATCH(C497,Insumos!$A:$A,0)),"insumo",IF(ISNUMBER(MATCH(C497,Preparos!$A:$A,0)),"preparo","")))</f>
      </c>
      <c r="C497" s="7"/>
      <c r="D497" s="7"/>
      <c r="E497" s="8">
        <f>IF(C497="","",IFERROR(VLOOKUP(C497,Insumos!$A:$I,9,FALSE),IFERROR(VLOOKUP(C497,Preparos!$A:$D,4,FALSE),"")))</f>
      </c>
      <c r="F497" s="8">
        <f>IF(C497="","",IFERROR(VLOOKUP(C497,Insumos!$A:$G,7,FALSE),100))</f>
      </c>
      <c r="G497" s="9">
        <f>IF(C497="","",IFERROR(VLOOKUP(C497,Insumos!$A:$J,10,FALSE),IFERROR(VLOOKUP(C497,Preparos!$A:$F,6,FALSE),0)))</f>
      </c>
      <c r="H497" s="10">
        <f>IF(OR(D497="",G497="",F497=0),"",D497*G497*(100/F497))</f>
      </c>
      <c r="I497" s="5"/>
    </row>
    <row r="498" spans="1:9" x14ac:dyDescent="0.25">
      <c r="A498" s="7"/>
      <c r="B498" s="8">
        <f>IF(C498="","",IF(ISNUMBER(MATCH(C498,Insumos!$A:$A,0)),"insumo",IF(ISNUMBER(MATCH(C498,Preparos!$A:$A,0)),"preparo","")))</f>
      </c>
      <c r="C498" s="7"/>
      <c r="D498" s="7"/>
      <c r="E498" s="8">
        <f>IF(C498="","",IFERROR(VLOOKUP(C498,Insumos!$A:$I,9,FALSE),IFERROR(VLOOKUP(C498,Preparos!$A:$D,4,FALSE),"")))</f>
      </c>
      <c r="F498" s="8">
        <f>IF(C498="","",IFERROR(VLOOKUP(C498,Insumos!$A:$G,7,FALSE),100))</f>
      </c>
      <c r="G498" s="9">
        <f>IF(C498="","",IFERROR(VLOOKUP(C498,Insumos!$A:$J,10,FALSE),IFERROR(VLOOKUP(C498,Preparos!$A:$F,6,FALSE),0)))</f>
      </c>
      <c r="H498" s="10">
        <f>IF(OR(D498="",G498="",F498=0),"",D498*G498*(100/F498))</f>
      </c>
      <c r="I498" s="5"/>
    </row>
    <row r="499" spans="1:9" x14ac:dyDescent="0.25">
      <c r="A499" s="7"/>
      <c r="B499" s="8">
        <f>IF(C499="","",IF(ISNUMBER(MATCH(C499,Insumos!$A:$A,0)),"insumo",IF(ISNUMBER(MATCH(C499,Preparos!$A:$A,0)),"preparo","")))</f>
      </c>
      <c r="C499" s="7"/>
      <c r="D499" s="7"/>
      <c r="E499" s="8">
        <f>IF(C499="","",IFERROR(VLOOKUP(C499,Insumos!$A:$I,9,FALSE),IFERROR(VLOOKUP(C499,Preparos!$A:$D,4,FALSE),"")))</f>
      </c>
      <c r="F499" s="8">
        <f>IF(C499="","",IFERROR(VLOOKUP(C499,Insumos!$A:$G,7,FALSE),100))</f>
      </c>
      <c r="G499" s="9">
        <f>IF(C499="","",IFERROR(VLOOKUP(C499,Insumos!$A:$J,10,FALSE),IFERROR(VLOOKUP(C499,Preparos!$A:$F,6,FALSE),0)))</f>
      </c>
      <c r="H499" s="10">
        <f>IF(OR(D499="",G499="",F499=0),"",D499*G499*(100/F499))</f>
      </c>
      <c r="I499" s="5"/>
    </row>
    <row r="500" spans="1:9" x14ac:dyDescent="0.25">
      <c r="A500" s="7"/>
      <c r="B500" s="8">
        <f>IF(C500="","",IF(ISNUMBER(MATCH(C500,Insumos!$A:$A,0)),"insumo",IF(ISNUMBER(MATCH(C500,Preparos!$A:$A,0)),"preparo","")))</f>
      </c>
      <c r="C500" s="7"/>
      <c r="D500" s="7"/>
      <c r="E500" s="8">
        <f>IF(C500="","",IFERROR(VLOOKUP(C500,Insumos!$A:$I,9,FALSE),IFERROR(VLOOKUP(C500,Preparos!$A:$D,4,FALSE),"")))</f>
      </c>
      <c r="F500" s="8">
        <f>IF(C500="","",IFERROR(VLOOKUP(C500,Insumos!$A:$G,7,FALSE),100))</f>
      </c>
      <c r="G500" s="9">
        <f>IF(C500="","",IFERROR(VLOOKUP(C500,Insumos!$A:$J,10,FALSE),IFERROR(VLOOKUP(C500,Preparos!$A:$F,6,FALSE),0)))</f>
      </c>
      <c r="H500" s="10">
        <f>IF(OR(D500="",G500="",F500=0),"",D500*G500*(100/F500))</f>
      </c>
      <c r="I500" s="5"/>
    </row>
  </sheetData>
  <dataValidations count="4">
    <dataValidation type="list" allowBlank="1" sqref="A10:A500">
      <formula1>=Preparos!$A$2:$A$500</formula1>
    </dataValidation>
    <dataValidation type="list" allowBlank="1" sqref="A2:A500">
      <formula1>=Preparos!$A$2:$A$500</formula1>
    </dataValidation>
    <dataValidation type="list" allowBlank="1" sqref="C10:C500">
      <formula1>=itens_todos</formula1>
    </dataValidation>
    <dataValidation type="list" allowBlank="1" sqref="C2:C500">
      <formula1>=itens_todos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32" customWidth="1"/>
    <col min="4" max="5" width="14" customWidth="1"/>
    <col min="6" max="6" width="12" customWidth="1"/>
    <col min="7" max="8" width="16" customWidth="1"/>
    <col min="9" max="9" width="24" customWidth="1"/>
  </cols>
  <sheetData>
    <row r="1" ht="32" customHeight="1" spans="1:9" x14ac:dyDescent="0.25">
      <c r="A1" s="6" t="s">
        <v>184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</row>
    <row r="2" spans="1:9" x14ac:dyDescent="0.25">
      <c r="A2" s="7" t="s">
        <v>170</v>
      </c>
      <c r="B2" s="8">
        <f>IF(C2="","",IF(ISNUMBER(MATCH(C2,Insumos!$A:$A,0)),"insumo",IF(ISNUMBER(MATCH(C2,Preparos!$A:$A,0)),"preparo",IF(ISNUMBER(MATCH(C2,Fichas!$A:$A,0)),"ficha",""))))</f>
      </c>
      <c r="C2" s="7" t="s">
        <v>164</v>
      </c>
      <c r="D2" s="7">
        <v>2</v>
      </c>
      <c r="E2" s="8">
        <f>IF(C2="","",IFERROR(VLOOKUP(C2,Insumos!$A:$I,9,FALSE),IFERROR(VLOOKUP(C2,Preparos!$A:$D,4,FALSE),IFERROR(IF(ISNUMBER(MATCH(C2,Fichas!$A:$A,0)),"un",""),""))))</f>
      </c>
      <c r="F2" s="8">
        <f>IF(C2="","",IFERROR(VLOOKUP(C2,Insumos!$A:$G,7,FALSE),100))</f>
      </c>
      <c r="G2" s="9">
        <f>IF(C2="","",IFERROR(VLOOKUP(C2,Insumos!$A:$J,10,FALSE),IFERROR(VLOOKUP(C2,Preparos!$A:$F,6,FALSE),IFERROR(VLOOKUP(C2,Fichas!$A:$D,4,FALSE),0))))</f>
      </c>
      <c r="H2" s="10">
        <f>IF(OR(D2="",G2="",F2=0),"",D2*G2*(100/F2))</f>
      </c>
      <c r="I2" s="5"/>
    </row>
    <row r="3" spans="1:9" x14ac:dyDescent="0.25">
      <c r="A3" s="7" t="s">
        <v>170</v>
      </c>
      <c r="B3" s="8">
        <f>IF(C3="","",IF(ISNUMBER(MATCH(C3,Insumos!$A:$A,0)),"insumo",IF(ISNUMBER(MATCH(C3,Preparos!$A:$A,0)),"preparo",IF(ISNUMBER(MATCH(C3,Fichas!$A:$A,0)),"ficha",""))))</f>
      </c>
      <c r="C3" s="7" t="s">
        <v>147</v>
      </c>
      <c r="D3" s="7">
        <v>1</v>
      </c>
      <c r="E3" s="8">
        <f>IF(C3="","",IFERROR(VLOOKUP(C3,Insumos!$A:$I,9,FALSE),IFERROR(VLOOKUP(C3,Preparos!$A:$D,4,FALSE),IFERROR(IF(ISNUMBER(MATCH(C3,Fichas!$A:$A,0)),"un",""),""))))</f>
      </c>
      <c r="F3" s="8">
        <f>IF(C3="","",IFERROR(VLOOKUP(C3,Insumos!$A:$G,7,FALSE),100))</f>
      </c>
      <c r="G3" s="9">
        <f>IF(C3="","",IFERROR(VLOOKUP(C3,Insumos!$A:$J,10,FALSE),IFERROR(VLOOKUP(C3,Preparos!$A:$F,6,FALSE),IFERROR(VLOOKUP(C3,Fichas!$A:$D,4,FALSE),0))))</f>
      </c>
      <c r="H3" s="10">
        <f>IF(OR(D3="",G3="",F3=0),"",D3*G3*(100/F3))</f>
      </c>
      <c r="I3" s="5"/>
    </row>
    <row r="4" spans="1:9" x14ac:dyDescent="0.25">
      <c r="A4" s="7" t="s">
        <v>170</v>
      </c>
      <c r="B4" s="8">
        <f>IF(C4="","",IF(ISNUMBER(MATCH(C4,Insumos!$A:$A,0)),"insumo",IF(ISNUMBER(MATCH(C4,Preparos!$A:$A,0)),"preparo",IF(ISNUMBER(MATCH(C4,Fichas!$A:$A,0)),"ficha",""))))</f>
      </c>
      <c r="C4" s="7" t="s">
        <v>134</v>
      </c>
      <c r="D4" s="7">
        <v>50</v>
      </c>
      <c r="E4" s="8">
        <f>IF(C4="","",IFERROR(VLOOKUP(C4,Insumos!$A:$I,9,FALSE),IFERROR(VLOOKUP(C4,Preparos!$A:$D,4,FALSE),IFERROR(IF(ISNUMBER(MATCH(C4,Fichas!$A:$A,0)),"un",""),""))))</f>
      </c>
      <c r="F4" s="8">
        <f>IF(C4="","",IFERROR(VLOOKUP(C4,Insumos!$A:$G,7,FALSE),100))</f>
      </c>
      <c r="G4" s="9">
        <f>IF(C4="","",IFERROR(VLOOKUP(C4,Insumos!$A:$J,10,FALSE),IFERROR(VLOOKUP(C4,Preparos!$A:$F,6,FALSE),IFERROR(VLOOKUP(C4,Fichas!$A:$D,4,FALSE),0))))</f>
      </c>
      <c r="H4" s="10">
        <f>IF(OR(D4="",G4="",F4=0),"",D4*G4*(100/F4))</f>
      </c>
      <c r="I4" s="5"/>
    </row>
    <row r="5" spans="1:9" x14ac:dyDescent="0.25">
      <c r="A5" s="7" t="s">
        <v>170</v>
      </c>
      <c r="B5" s="8">
        <f>IF(C5="","",IF(ISNUMBER(MATCH(C5,Insumos!$A:$A,0)),"insumo",IF(ISNUMBER(MATCH(C5,Preparos!$A:$A,0)),"preparo",IF(ISNUMBER(MATCH(C5,Fichas!$A:$A,0)),"ficha",""))))</f>
      </c>
      <c r="C5" s="7" t="s">
        <v>154</v>
      </c>
      <c r="D5" s="7">
        <v>1</v>
      </c>
      <c r="E5" s="8">
        <f>IF(C5="","",IFERROR(VLOOKUP(C5,Insumos!$A:$I,9,FALSE),IFERROR(VLOOKUP(C5,Preparos!$A:$D,4,FALSE),IFERROR(IF(ISNUMBER(MATCH(C5,Fichas!$A:$A,0)),"un",""),""))))</f>
      </c>
      <c r="F5" s="8">
        <f>IF(C5="","",IFERROR(VLOOKUP(C5,Insumos!$A:$G,7,FALSE),100))</f>
      </c>
      <c r="G5" s="9">
        <f>IF(C5="","",IFERROR(VLOOKUP(C5,Insumos!$A:$J,10,FALSE),IFERROR(VLOOKUP(C5,Preparos!$A:$F,6,FALSE),IFERROR(VLOOKUP(C5,Fichas!$A:$D,4,FALSE),0))))</f>
      </c>
      <c r="H5" s="10">
        <f>IF(OR(D5="",G5="",F5=0),"",D5*G5*(100/F5))</f>
      </c>
      <c r="I5" s="5"/>
    </row>
    <row r="6" spans="1:9" x14ac:dyDescent="0.25">
      <c r="A6" s="7" t="s">
        <v>171</v>
      </c>
      <c r="B6" s="8">
        <f>IF(C6="","",IF(ISNUMBER(MATCH(C6,Insumos!$A:$A,0)),"insumo",IF(ISNUMBER(MATCH(C6,Preparos!$A:$A,0)),"preparo",IF(ISNUMBER(MATCH(C6,Fichas!$A:$A,0)),"ficha",""))))</f>
      </c>
      <c r="C6" s="7" t="s">
        <v>162</v>
      </c>
      <c r="D6" s="7">
        <v>400</v>
      </c>
      <c r="E6" s="8">
        <f>IF(C6="","",IFERROR(VLOOKUP(C6,Insumos!$A:$I,9,FALSE),IFERROR(VLOOKUP(C6,Preparos!$A:$D,4,FALSE),IFERROR(IF(ISNUMBER(MATCH(C6,Fichas!$A:$A,0)),"un",""),""))))</f>
      </c>
      <c r="F6" s="8">
        <f>IF(C6="","",IFERROR(VLOOKUP(C6,Insumos!$A:$G,7,FALSE),100))</f>
      </c>
      <c r="G6" s="9">
        <f>IF(C6="","",IFERROR(VLOOKUP(C6,Insumos!$A:$J,10,FALSE),IFERROR(VLOOKUP(C6,Preparos!$A:$F,6,FALSE),IFERROR(VLOOKUP(C6,Fichas!$A:$D,4,FALSE),0))))</f>
      </c>
      <c r="H6" s="10">
        <f>IF(OR(D6="",G6="",F6=0),"",D6*G6*(100/F6))</f>
      </c>
      <c r="I6" s="5"/>
    </row>
    <row r="7" spans="1:9" x14ac:dyDescent="0.25">
      <c r="A7" s="7" t="s">
        <v>171</v>
      </c>
      <c r="B7" s="8">
        <f>IF(C7="","",IF(ISNUMBER(MATCH(C7,Insumos!$A:$A,0)),"insumo",IF(ISNUMBER(MATCH(C7,Preparos!$A:$A,0)),"preparo",IF(ISNUMBER(MATCH(C7,Fichas!$A:$A,0)),"ficha",""))))</f>
      </c>
      <c r="C7" s="7" t="s">
        <v>166</v>
      </c>
      <c r="D7" s="7">
        <v>200</v>
      </c>
      <c r="E7" s="8">
        <f>IF(C7="","",IFERROR(VLOOKUP(C7,Insumos!$A:$I,9,FALSE),IFERROR(VLOOKUP(C7,Preparos!$A:$D,4,FALSE),IFERROR(IF(ISNUMBER(MATCH(C7,Fichas!$A:$A,0)),"un",""),""))))</f>
      </c>
      <c r="F7" s="8">
        <f>IF(C7="","",IFERROR(VLOOKUP(C7,Insumos!$A:$G,7,FALSE),100))</f>
      </c>
      <c r="G7" s="9">
        <f>IF(C7="","",IFERROR(VLOOKUP(C7,Insumos!$A:$J,10,FALSE),IFERROR(VLOOKUP(C7,Preparos!$A:$F,6,FALSE),IFERROR(VLOOKUP(C7,Fichas!$A:$D,4,FALSE),0))))</f>
      </c>
      <c r="H7" s="10">
        <f>IF(OR(D7="",G7="",F7=0),"",D7*G7*(100/F7))</f>
      </c>
      <c r="I7" s="5"/>
    </row>
    <row r="8" spans="1:9" x14ac:dyDescent="0.25">
      <c r="A8" s="7" t="s">
        <v>171</v>
      </c>
      <c r="B8" s="8">
        <f>IF(C8="","",IF(ISNUMBER(MATCH(C8,Insumos!$A:$A,0)),"insumo",IF(ISNUMBER(MATCH(C8,Preparos!$A:$A,0)),"preparo",IF(ISNUMBER(MATCH(C8,Fichas!$A:$A,0)),"ficha",""))))</f>
      </c>
      <c r="C8" s="7" t="s">
        <v>134</v>
      </c>
      <c r="D8" s="7">
        <v>150</v>
      </c>
      <c r="E8" s="8">
        <f>IF(C8="","",IFERROR(VLOOKUP(C8,Insumos!$A:$I,9,FALSE),IFERROR(VLOOKUP(C8,Preparos!$A:$D,4,FALSE),IFERROR(IF(ISNUMBER(MATCH(C8,Fichas!$A:$A,0)),"un",""),""))))</f>
      </c>
      <c r="F8" s="8">
        <f>IF(C8="","",IFERROR(VLOOKUP(C8,Insumos!$A:$G,7,FALSE),100))</f>
      </c>
      <c r="G8" s="9">
        <f>IF(C8="","",IFERROR(VLOOKUP(C8,Insumos!$A:$J,10,FALSE),IFERROR(VLOOKUP(C8,Preparos!$A:$F,6,FALSE),IFERROR(VLOOKUP(C8,Fichas!$A:$D,4,FALSE),0))))</f>
      </c>
      <c r="H8" s="10">
        <f>IF(OR(D8="",G8="",F8=0),"",D8*G8*(100/F8))</f>
      </c>
      <c r="I8" s="5"/>
    </row>
    <row r="9" spans="1:9" x14ac:dyDescent="0.25">
      <c r="A9" s="7" t="s">
        <v>171</v>
      </c>
      <c r="B9" s="8">
        <f>IF(C9="","",IF(ISNUMBER(MATCH(C9,Insumos!$A:$A,0)),"insumo",IF(ISNUMBER(MATCH(C9,Preparos!$A:$A,0)),"preparo",IF(ISNUMBER(MATCH(C9,Fichas!$A:$A,0)),"ficha",""))))</f>
      </c>
      <c r="C9" s="7" t="s">
        <v>135</v>
      </c>
      <c r="D9" s="7">
        <v>30</v>
      </c>
      <c r="E9" s="8">
        <f>IF(C9="","",IFERROR(VLOOKUP(C9,Insumos!$A:$I,9,FALSE),IFERROR(VLOOKUP(C9,Preparos!$A:$D,4,FALSE),IFERROR(IF(ISNUMBER(MATCH(C9,Fichas!$A:$A,0)),"un",""),""))))</f>
      </c>
      <c r="F9" s="8">
        <f>IF(C9="","",IFERROR(VLOOKUP(C9,Insumos!$A:$G,7,FALSE),100))</f>
      </c>
      <c r="G9" s="9">
        <f>IF(C9="","",IFERROR(VLOOKUP(C9,Insumos!$A:$J,10,FALSE),IFERROR(VLOOKUP(C9,Preparos!$A:$F,6,FALSE),IFERROR(VLOOKUP(C9,Fichas!$A:$D,4,FALSE),0))))</f>
      </c>
      <c r="H9" s="10">
        <f>IF(OR(D9="",G9="",F9=0),"",D9*G9*(100/F9))</f>
      </c>
      <c r="I9" s="5"/>
    </row>
    <row r="10" spans="1:9" x14ac:dyDescent="0.25">
      <c r="A10" s="7" t="s">
        <v>173</v>
      </c>
      <c r="B10" s="8">
        <f>IF(C10="","",IF(ISNUMBER(MATCH(C10,Insumos!$A:$A,0)),"insumo",IF(ISNUMBER(MATCH(C10,Preparos!$A:$A,0)),"preparo",IF(ISNUMBER(MATCH(C10,Fichas!$A:$A,0)),"ficha",""))))</f>
      </c>
      <c r="C10" s="7" t="s">
        <v>150</v>
      </c>
      <c r="D10" s="7">
        <v>200</v>
      </c>
      <c r="E10" s="8">
        <f>IF(C10="","",IFERROR(VLOOKUP(C10,Insumos!$A:$I,9,FALSE),IFERROR(VLOOKUP(C10,Preparos!$A:$D,4,FALSE),IFERROR(IF(ISNUMBER(MATCH(C10,Fichas!$A:$A,0)),"un",""),""))))</f>
      </c>
      <c r="F10" s="8">
        <f>IF(C10="","",IFERROR(VLOOKUP(C10,Insumos!$A:$G,7,FALSE),100))</f>
      </c>
      <c r="G10" s="9">
        <f>IF(C10="","",IFERROR(VLOOKUP(C10,Insumos!$A:$J,10,FALSE),IFERROR(VLOOKUP(C10,Preparos!$A:$F,6,FALSE),IFERROR(VLOOKUP(C10,Fichas!$A:$D,4,FALSE),0))))</f>
      </c>
      <c r="H10" s="10">
        <f>IF(OR(D10="",G10="",F10=0),"",D10*G10*(100/F10))</f>
      </c>
      <c r="I10" s="5"/>
    </row>
    <row r="11" spans="1:9" x14ac:dyDescent="0.25">
      <c r="A11" s="7" t="s">
        <v>173</v>
      </c>
      <c r="B11" s="8">
        <f>IF(C11="","",IF(ISNUMBER(MATCH(C11,Insumos!$A:$A,0)),"insumo",IF(ISNUMBER(MATCH(C11,Preparos!$A:$A,0)),"preparo",IF(ISNUMBER(MATCH(C11,Fichas!$A:$A,0)),"ficha",""))))</f>
      </c>
      <c r="C11" s="7" t="s">
        <v>131</v>
      </c>
      <c r="D11" s="7">
        <v>20</v>
      </c>
      <c r="E11" s="8">
        <f>IF(C11="","",IFERROR(VLOOKUP(C11,Insumos!$A:$I,9,FALSE),IFERROR(VLOOKUP(C11,Preparos!$A:$D,4,FALSE),IFERROR(IF(ISNUMBER(MATCH(C11,Fichas!$A:$A,0)),"un",""),""))))</f>
      </c>
      <c r="F11" s="8">
        <f>IF(C11="","",IFERROR(VLOOKUP(C11,Insumos!$A:$G,7,FALSE),100))</f>
      </c>
      <c r="G11" s="9">
        <f>IF(C11="","",IFERROR(VLOOKUP(C11,Insumos!$A:$J,10,FALSE),IFERROR(VLOOKUP(C11,Preparos!$A:$F,6,FALSE),IFERROR(VLOOKUP(C11,Fichas!$A:$D,4,FALSE),0))))</f>
      </c>
      <c r="H11" s="10">
        <f>IF(OR(D11="",G11="",F11=0),"",D11*G11*(100/F11))</f>
      </c>
      <c r="I11" s="5"/>
    </row>
    <row r="12" spans="1:9" x14ac:dyDescent="0.25">
      <c r="A12" s="7"/>
      <c r="B12" s="8">
        <f>IF(C12="","",IF(ISNUMBER(MATCH(C12,Insumos!$A:$A,0)),"insumo",IF(ISNUMBER(MATCH(C12,Preparos!$A:$A,0)),"preparo",IF(ISNUMBER(MATCH(C12,Fichas!$A:$A,0)),"ficha",""))))</f>
      </c>
      <c r="C12" s="7"/>
      <c r="D12" s="7"/>
      <c r="E12" s="8">
        <f>IF(C12="","",IFERROR(VLOOKUP(C12,Insumos!$A:$I,9,FALSE),IFERROR(VLOOKUP(C12,Preparos!$A:$D,4,FALSE),IFERROR(IF(ISNUMBER(MATCH(C12,Fichas!$A:$A,0)),"un",""),""))))</f>
      </c>
      <c r="F12" s="8">
        <f>IF(C12="","",IFERROR(VLOOKUP(C12,Insumos!$A:$G,7,FALSE),100))</f>
      </c>
      <c r="G12" s="9">
        <f>IF(C12="","",IFERROR(VLOOKUP(C12,Insumos!$A:$J,10,FALSE),IFERROR(VLOOKUP(C12,Preparos!$A:$F,6,FALSE),IFERROR(VLOOKUP(C12,Fichas!$A:$D,4,FALSE),0))))</f>
      </c>
      <c r="H12" s="10">
        <f>IF(OR(D12="",G12="",F12=0),"",D12*G12*(100/F12))</f>
      </c>
      <c r="I12" s="5"/>
    </row>
    <row r="13" spans="1:9" x14ac:dyDescent="0.25">
      <c r="A13" s="7"/>
      <c r="B13" s="8">
        <f>IF(C13="","",IF(ISNUMBER(MATCH(C13,Insumos!$A:$A,0)),"insumo",IF(ISNUMBER(MATCH(C13,Preparos!$A:$A,0)),"preparo",IF(ISNUMBER(MATCH(C13,Fichas!$A:$A,0)),"ficha",""))))</f>
      </c>
      <c r="C13" s="7"/>
      <c r="D13" s="7"/>
      <c r="E13" s="8">
        <f>IF(C13="","",IFERROR(VLOOKUP(C13,Insumos!$A:$I,9,FALSE),IFERROR(VLOOKUP(C13,Preparos!$A:$D,4,FALSE),IFERROR(IF(ISNUMBER(MATCH(C13,Fichas!$A:$A,0)),"un",""),""))))</f>
      </c>
      <c r="F13" s="8">
        <f>IF(C13="","",IFERROR(VLOOKUP(C13,Insumos!$A:$G,7,FALSE),100))</f>
      </c>
      <c r="G13" s="9">
        <f>IF(C13="","",IFERROR(VLOOKUP(C13,Insumos!$A:$J,10,FALSE),IFERROR(VLOOKUP(C13,Preparos!$A:$F,6,FALSE),IFERROR(VLOOKUP(C13,Fichas!$A:$D,4,FALSE),0))))</f>
      </c>
      <c r="H13" s="10">
        <f>IF(OR(D13="",G13="",F13=0),"",D13*G13*(100/F13))</f>
      </c>
      <c r="I13" s="5"/>
    </row>
    <row r="14" spans="1:9" x14ac:dyDescent="0.25">
      <c r="A14" s="7"/>
      <c r="B14" s="8">
        <f>IF(C14="","",IF(ISNUMBER(MATCH(C14,Insumos!$A:$A,0)),"insumo",IF(ISNUMBER(MATCH(C14,Preparos!$A:$A,0)),"preparo",IF(ISNUMBER(MATCH(C14,Fichas!$A:$A,0)),"ficha",""))))</f>
      </c>
      <c r="C14" s="7"/>
      <c r="D14" s="7"/>
      <c r="E14" s="8">
        <f>IF(C14="","",IFERROR(VLOOKUP(C14,Insumos!$A:$I,9,FALSE),IFERROR(VLOOKUP(C14,Preparos!$A:$D,4,FALSE),IFERROR(IF(ISNUMBER(MATCH(C14,Fichas!$A:$A,0)),"un",""),""))))</f>
      </c>
      <c r="F14" s="8">
        <f>IF(C14="","",IFERROR(VLOOKUP(C14,Insumos!$A:$G,7,FALSE),100))</f>
      </c>
      <c r="G14" s="9">
        <f>IF(C14="","",IFERROR(VLOOKUP(C14,Insumos!$A:$J,10,FALSE),IFERROR(VLOOKUP(C14,Preparos!$A:$F,6,FALSE),IFERROR(VLOOKUP(C14,Fichas!$A:$D,4,FALSE),0))))</f>
      </c>
      <c r="H14" s="10">
        <f>IF(OR(D14="",G14="",F14=0),"",D14*G14*(100/F14))</f>
      </c>
      <c r="I14" s="5"/>
    </row>
    <row r="15" spans="1:9" x14ac:dyDescent="0.25">
      <c r="A15" s="7"/>
      <c r="B15" s="8">
        <f>IF(C15="","",IF(ISNUMBER(MATCH(C15,Insumos!$A:$A,0)),"insumo",IF(ISNUMBER(MATCH(C15,Preparos!$A:$A,0)),"preparo",IF(ISNUMBER(MATCH(C15,Fichas!$A:$A,0)),"ficha",""))))</f>
      </c>
      <c r="C15" s="7"/>
      <c r="D15" s="7"/>
      <c r="E15" s="8">
        <f>IF(C15="","",IFERROR(VLOOKUP(C15,Insumos!$A:$I,9,FALSE),IFERROR(VLOOKUP(C15,Preparos!$A:$D,4,FALSE),IFERROR(IF(ISNUMBER(MATCH(C15,Fichas!$A:$A,0)),"un",""),""))))</f>
      </c>
      <c r="F15" s="8">
        <f>IF(C15="","",IFERROR(VLOOKUP(C15,Insumos!$A:$G,7,FALSE),100))</f>
      </c>
      <c r="G15" s="9">
        <f>IF(C15="","",IFERROR(VLOOKUP(C15,Insumos!$A:$J,10,FALSE),IFERROR(VLOOKUP(C15,Preparos!$A:$F,6,FALSE),IFERROR(VLOOKUP(C15,Fichas!$A:$D,4,FALSE),0))))</f>
      </c>
      <c r="H15" s="10">
        <f>IF(OR(D15="",G15="",F15=0),"",D15*G15*(100/F15))</f>
      </c>
      <c r="I15" s="5"/>
    </row>
    <row r="16" spans="1:9" x14ac:dyDescent="0.25">
      <c r="A16" s="7"/>
      <c r="B16" s="8">
        <f>IF(C16="","",IF(ISNUMBER(MATCH(C16,Insumos!$A:$A,0)),"insumo",IF(ISNUMBER(MATCH(C16,Preparos!$A:$A,0)),"preparo",IF(ISNUMBER(MATCH(C16,Fichas!$A:$A,0)),"ficha",""))))</f>
      </c>
      <c r="C16" s="7"/>
      <c r="D16" s="7"/>
      <c r="E16" s="8">
        <f>IF(C16="","",IFERROR(VLOOKUP(C16,Insumos!$A:$I,9,FALSE),IFERROR(VLOOKUP(C16,Preparos!$A:$D,4,FALSE),IFERROR(IF(ISNUMBER(MATCH(C16,Fichas!$A:$A,0)),"un",""),""))))</f>
      </c>
      <c r="F16" s="8">
        <f>IF(C16="","",IFERROR(VLOOKUP(C16,Insumos!$A:$G,7,FALSE),100))</f>
      </c>
      <c r="G16" s="9">
        <f>IF(C16="","",IFERROR(VLOOKUP(C16,Insumos!$A:$J,10,FALSE),IFERROR(VLOOKUP(C16,Preparos!$A:$F,6,FALSE),IFERROR(VLOOKUP(C16,Fichas!$A:$D,4,FALSE),0))))</f>
      </c>
      <c r="H16" s="10">
        <f>IF(OR(D16="",G16="",F16=0),"",D16*G16*(100/F16))</f>
      </c>
      <c r="I16" s="5"/>
    </row>
    <row r="17" spans="1:9" x14ac:dyDescent="0.25">
      <c r="A17" s="7"/>
      <c r="B17" s="8">
        <f>IF(C17="","",IF(ISNUMBER(MATCH(C17,Insumos!$A:$A,0)),"insumo",IF(ISNUMBER(MATCH(C17,Preparos!$A:$A,0)),"preparo",IF(ISNUMBER(MATCH(C17,Fichas!$A:$A,0)),"ficha",""))))</f>
      </c>
      <c r="C17" s="7"/>
      <c r="D17" s="7"/>
      <c r="E17" s="8">
        <f>IF(C17="","",IFERROR(VLOOKUP(C17,Insumos!$A:$I,9,FALSE),IFERROR(VLOOKUP(C17,Preparos!$A:$D,4,FALSE),IFERROR(IF(ISNUMBER(MATCH(C17,Fichas!$A:$A,0)),"un",""),""))))</f>
      </c>
      <c r="F17" s="8">
        <f>IF(C17="","",IFERROR(VLOOKUP(C17,Insumos!$A:$G,7,FALSE),100))</f>
      </c>
      <c r="G17" s="9">
        <f>IF(C17="","",IFERROR(VLOOKUP(C17,Insumos!$A:$J,10,FALSE),IFERROR(VLOOKUP(C17,Preparos!$A:$F,6,FALSE),IFERROR(VLOOKUP(C17,Fichas!$A:$D,4,FALSE),0))))</f>
      </c>
      <c r="H17" s="10">
        <f>IF(OR(D17="",G17="",F17=0),"",D17*G17*(100/F17))</f>
      </c>
      <c r="I17" s="5"/>
    </row>
    <row r="18" spans="1:9" x14ac:dyDescent="0.25">
      <c r="A18" s="7"/>
      <c r="B18" s="8">
        <f>IF(C18="","",IF(ISNUMBER(MATCH(C18,Insumos!$A:$A,0)),"insumo",IF(ISNUMBER(MATCH(C18,Preparos!$A:$A,0)),"preparo",IF(ISNUMBER(MATCH(C18,Fichas!$A:$A,0)),"ficha",""))))</f>
      </c>
      <c r="C18" s="7"/>
      <c r="D18" s="7"/>
      <c r="E18" s="8">
        <f>IF(C18="","",IFERROR(VLOOKUP(C18,Insumos!$A:$I,9,FALSE),IFERROR(VLOOKUP(C18,Preparos!$A:$D,4,FALSE),IFERROR(IF(ISNUMBER(MATCH(C18,Fichas!$A:$A,0)),"un",""),""))))</f>
      </c>
      <c r="F18" s="8">
        <f>IF(C18="","",IFERROR(VLOOKUP(C18,Insumos!$A:$G,7,FALSE),100))</f>
      </c>
      <c r="G18" s="9">
        <f>IF(C18="","",IFERROR(VLOOKUP(C18,Insumos!$A:$J,10,FALSE),IFERROR(VLOOKUP(C18,Preparos!$A:$F,6,FALSE),IFERROR(VLOOKUP(C18,Fichas!$A:$D,4,FALSE),0))))</f>
      </c>
      <c r="H18" s="10">
        <f>IF(OR(D18="",G18="",F18=0),"",D18*G18*(100/F18))</f>
      </c>
      <c r="I18" s="5"/>
    </row>
    <row r="19" spans="1:9" x14ac:dyDescent="0.25">
      <c r="A19" s="7"/>
      <c r="B19" s="8">
        <f>IF(C19="","",IF(ISNUMBER(MATCH(C19,Insumos!$A:$A,0)),"insumo",IF(ISNUMBER(MATCH(C19,Preparos!$A:$A,0)),"preparo",IF(ISNUMBER(MATCH(C19,Fichas!$A:$A,0)),"ficha",""))))</f>
      </c>
      <c r="C19" s="7"/>
      <c r="D19" s="7"/>
      <c r="E19" s="8">
        <f>IF(C19="","",IFERROR(VLOOKUP(C19,Insumos!$A:$I,9,FALSE),IFERROR(VLOOKUP(C19,Preparos!$A:$D,4,FALSE),IFERROR(IF(ISNUMBER(MATCH(C19,Fichas!$A:$A,0)),"un",""),""))))</f>
      </c>
      <c r="F19" s="8">
        <f>IF(C19="","",IFERROR(VLOOKUP(C19,Insumos!$A:$G,7,FALSE),100))</f>
      </c>
      <c r="G19" s="9">
        <f>IF(C19="","",IFERROR(VLOOKUP(C19,Insumos!$A:$J,10,FALSE),IFERROR(VLOOKUP(C19,Preparos!$A:$F,6,FALSE),IFERROR(VLOOKUP(C19,Fichas!$A:$D,4,FALSE),0))))</f>
      </c>
      <c r="H19" s="10">
        <f>IF(OR(D19="",G19="",F19=0),"",D19*G19*(100/F19))</f>
      </c>
      <c r="I19" s="5"/>
    </row>
    <row r="20" spans="1:9" x14ac:dyDescent="0.25">
      <c r="A20" s="7"/>
      <c r="B20" s="8">
        <f>IF(C20="","",IF(ISNUMBER(MATCH(C20,Insumos!$A:$A,0)),"insumo",IF(ISNUMBER(MATCH(C20,Preparos!$A:$A,0)),"preparo",IF(ISNUMBER(MATCH(C20,Fichas!$A:$A,0)),"ficha",""))))</f>
      </c>
      <c r="C20" s="7"/>
      <c r="D20" s="7"/>
      <c r="E20" s="8">
        <f>IF(C20="","",IFERROR(VLOOKUP(C20,Insumos!$A:$I,9,FALSE),IFERROR(VLOOKUP(C20,Preparos!$A:$D,4,FALSE),IFERROR(IF(ISNUMBER(MATCH(C20,Fichas!$A:$A,0)),"un",""),""))))</f>
      </c>
      <c r="F20" s="8">
        <f>IF(C20="","",IFERROR(VLOOKUP(C20,Insumos!$A:$G,7,FALSE),100))</f>
      </c>
      <c r="G20" s="9">
        <f>IF(C20="","",IFERROR(VLOOKUP(C20,Insumos!$A:$J,10,FALSE),IFERROR(VLOOKUP(C20,Preparos!$A:$F,6,FALSE),IFERROR(VLOOKUP(C20,Fichas!$A:$D,4,FALSE),0))))</f>
      </c>
      <c r="H20" s="10">
        <f>IF(OR(D20="",G20="",F20=0),"",D20*G20*(100/F20))</f>
      </c>
      <c r="I20" s="5"/>
    </row>
    <row r="21" spans="1:9" x14ac:dyDescent="0.25">
      <c r="A21" s="7"/>
      <c r="B21" s="8">
        <f>IF(C21="","",IF(ISNUMBER(MATCH(C21,Insumos!$A:$A,0)),"insumo",IF(ISNUMBER(MATCH(C21,Preparos!$A:$A,0)),"preparo",IF(ISNUMBER(MATCH(C21,Fichas!$A:$A,0)),"ficha",""))))</f>
      </c>
      <c r="C21" s="7"/>
      <c r="D21" s="7"/>
      <c r="E21" s="8">
        <f>IF(C21="","",IFERROR(VLOOKUP(C21,Insumos!$A:$I,9,FALSE),IFERROR(VLOOKUP(C21,Preparos!$A:$D,4,FALSE),IFERROR(IF(ISNUMBER(MATCH(C21,Fichas!$A:$A,0)),"un",""),""))))</f>
      </c>
      <c r="F21" s="8">
        <f>IF(C21="","",IFERROR(VLOOKUP(C21,Insumos!$A:$G,7,FALSE),100))</f>
      </c>
      <c r="G21" s="9">
        <f>IF(C21="","",IFERROR(VLOOKUP(C21,Insumos!$A:$J,10,FALSE),IFERROR(VLOOKUP(C21,Preparos!$A:$F,6,FALSE),IFERROR(VLOOKUP(C21,Fichas!$A:$D,4,FALSE),0))))</f>
      </c>
      <c r="H21" s="10">
        <f>IF(OR(D21="",G21="",F21=0),"",D21*G21*(100/F21))</f>
      </c>
      <c r="I21" s="5"/>
    </row>
    <row r="22" spans="1:9" x14ac:dyDescent="0.25">
      <c r="A22" s="7"/>
      <c r="B22" s="8">
        <f>IF(C22="","",IF(ISNUMBER(MATCH(C22,Insumos!$A:$A,0)),"insumo",IF(ISNUMBER(MATCH(C22,Preparos!$A:$A,0)),"preparo",IF(ISNUMBER(MATCH(C22,Fichas!$A:$A,0)),"ficha",""))))</f>
      </c>
      <c r="C22" s="7"/>
      <c r="D22" s="7"/>
      <c r="E22" s="8">
        <f>IF(C22="","",IFERROR(VLOOKUP(C22,Insumos!$A:$I,9,FALSE),IFERROR(VLOOKUP(C22,Preparos!$A:$D,4,FALSE),IFERROR(IF(ISNUMBER(MATCH(C22,Fichas!$A:$A,0)),"un",""),""))))</f>
      </c>
      <c r="F22" s="8">
        <f>IF(C22="","",IFERROR(VLOOKUP(C22,Insumos!$A:$G,7,FALSE),100))</f>
      </c>
      <c r="G22" s="9">
        <f>IF(C22="","",IFERROR(VLOOKUP(C22,Insumos!$A:$J,10,FALSE),IFERROR(VLOOKUP(C22,Preparos!$A:$F,6,FALSE),IFERROR(VLOOKUP(C22,Fichas!$A:$D,4,FALSE),0))))</f>
      </c>
      <c r="H22" s="10">
        <f>IF(OR(D22="",G22="",F22=0),"",D22*G22*(100/F22))</f>
      </c>
      <c r="I22" s="5"/>
    </row>
    <row r="23" spans="1:9" x14ac:dyDescent="0.25">
      <c r="A23" s="7"/>
      <c r="B23" s="8">
        <f>IF(C23="","",IF(ISNUMBER(MATCH(C23,Insumos!$A:$A,0)),"insumo",IF(ISNUMBER(MATCH(C23,Preparos!$A:$A,0)),"preparo",IF(ISNUMBER(MATCH(C23,Fichas!$A:$A,0)),"ficha",""))))</f>
      </c>
      <c r="C23" s="7"/>
      <c r="D23" s="7"/>
      <c r="E23" s="8">
        <f>IF(C23="","",IFERROR(VLOOKUP(C23,Insumos!$A:$I,9,FALSE),IFERROR(VLOOKUP(C23,Preparos!$A:$D,4,FALSE),IFERROR(IF(ISNUMBER(MATCH(C23,Fichas!$A:$A,0)),"un",""),""))))</f>
      </c>
      <c r="F23" s="8">
        <f>IF(C23="","",IFERROR(VLOOKUP(C23,Insumos!$A:$G,7,FALSE),100))</f>
      </c>
      <c r="G23" s="9">
        <f>IF(C23="","",IFERROR(VLOOKUP(C23,Insumos!$A:$J,10,FALSE),IFERROR(VLOOKUP(C23,Preparos!$A:$F,6,FALSE),IFERROR(VLOOKUP(C23,Fichas!$A:$D,4,FALSE),0))))</f>
      </c>
      <c r="H23" s="10">
        <f>IF(OR(D23="",G23="",F23=0),"",D23*G23*(100/F23))</f>
      </c>
      <c r="I23" s="5"/>
    </row>
    <row r="24" spans="1:9" x14ac:dyDescent="0.25">
      <c r="A24" s="7"/>
      <c r="B24" s="8">
        <f>IF(C24="","",IF(ISNUMBER(MATCH(C24,Insumos!$A:$A,0)),"insumo",IF(ISNUMBER(MATCH(C24,Preparos!$A:$A,0)),"preparo",IF(ISNUMBER(MATCH(C24,Fichas!$A:$A,0)),"ficha",""))))</f>
      </c>
      <c r="C24" s="7"/>
      <c r="D24" s="7"/>
      <c r="E24" s="8">
        <f>IF(C24="","",IFERROR(VLOOKUP(C24,Insumos!$A:$I,9,FALSE),IFERROR(VLOOKUP(C24,Preparos!$A:$D,4,FALSE),IFERROR(IF(ISNUMBER(MATCH(C24,Fichas!$A:$A,0)),"un",""),""))))</f>
      </c>
      <c r="F24" s="8">
        <f>IF(C24="","",IFERROR(VLOOKUP(C24,Insumos!$A:$G,7,FALSE),100))</f>
      </c>
      <c r="G24" s="9">
        <f>IF(C24="","",IFERROR(VLOOKUP(C24,Insumos!$A:$J,10,FALSE),IFERROR(VLOOKUP(C24,Preparos!$A:$F,6,FALSE),IFERROR(VLOOKUP(C24,Fichas!$A:$D,4,FALSE),0))))</f>
      </c>
      <c r="H24" s="10">
        <f>IF(OR(D24="",G24="",F24=0),"",D24*G24*(100/F24))</f>
      </c>
      <c r="I24" s="5"/>
    </row>
    <row r="25" spans="1:9" x14ac:dyDescent="0.25">
      <c r="A25" s="7"/>
      <c r="B25" s="8">
        <f>IF(C25="","",IF(ISNUMBER(MATCH(C25,Insumos!$A:$A,0)),"insumo",IF(ISNUMBER(MATCH(C25,Preparos!$A:$A,0)),"preparo",IF(ISNUMBER(MATCH(C25,Fichas!$A:$A,0)),"ficha",""))))</f>
      </c>
      <c r="C25" s="7"/>
      <c r="D25" s="7"/>
      <c r="E25" s="8">
        <f>IF(C25="","",IFERROR(VLOOKUP(C25,Insumos!$A:$I,9,FALSE),IFERROR(VLOOKUP(C25,Preparos!$A:$D,4,FALSE),IFERROR(IF(ISNUMBER(MATCH(C25,Fichas!$A:$A,0)),"un",""),""))))</f>
      </c>
      <c r="F25" s="8">
        <f>IF(C25="","",IFERROR(VLOOKUP(C25,Insumos!$A:$G,7,FALSE),100))</f>
      </c>
      <c r="G25" s="9">
        <f>IF(C25="","",IFERROR(VLOOKUP(C25,Insumos!$A:$J,10,FALSE),IFERROR(VLOOKUP(C25,Preparos!$A:$F,6,FALSE),IFERROR(VLOOKUP(C25,Fichas!$A:$D,4,FALSE),0))))</f>
      </c>
      <c r="H25" s="10">
        <f>IF(OR(D25="",G25="",F25=0),"",D25*G25*(100/F25))</f>
      </c>
      <c r="I25" s="5"/>
    </row>
    <row r="26" spans="1:9" x14ac:dyDescent="0.25">
      <c r="A26" s="7"/>
      <c r="B26" s="8">
        <f>IF(C26="","",IF(ISNUMBER(MATCH(C26,Insumos!$A:$A,0)),"insumo",IF(ISNUMBER(MATCH(C26,Preparos!$A:$A,0)),"preparo",IF(ISNUMBER(MATCH(C26,Fichas!$A:$A,0)),"ficha",""))))</f>
      </c>
      <c r="C26" s="7"/>
      <c r="D26" s="7"/>
      <c r="E26" s="8">
        <f>IF(C26="","",IFERROR(VLOOKUP(C26,Insumos!$A:$I,9,FALSE),IFERROR(VLOOKUP(C26,Preparos!$A:$D,4,FALSE),IFERROR(IF(ISNUMBER(MATCH(C26,Fichas!$A:$A,0)),"un",""),""))))</f>
      </c>
      <c r="F26" s="8">
        <f>IF(C26="","",IFERROR(VLOOKUP(C26,Insumos!$A:$G,7,FALSE),100))</f>
      </c>
      <c r="G26" s="9">
        <f>IF(C26="","",IFERROR(VLOOKUP(C26,Insumos!$A:$J,10,FALSE),IFERROR(VLOOKUP(C26,Preparos!$A:$F,6,FALSE),IFERROR(VLOOKUP(C26,Fichas!$A:$D,4,FALSE),0))))</f>
      </c>
      <c r="H26" s="10">
        <f>IF(OR(D26="",G26="",F26=0),"",D26*G26*(100/F26))</f>
      </c>
      <c r="I26" s="5"/>
    </row>
    <row r="27" spans="1:9" x14ac:dyDescent="0.25">
      <c r="A27" s="7"/>
      <c r="B27" s="8">
        <f>IF(C27="","",IF(ISNUMBER(MATCH(C27,Insumos!$A:$A,0)),"insumo",IF(ISNUMBER(MATCH(C27,Preparos!$A:$A,0)),"preparo",IF(ISNUMBER(MATCH(C27,Fichas!$A:$A,0)),"ficha",""))))</f>
      </c>
      <c r="C27" s="7"/>
      <c r="D27" s="7"/>
      <c r="E27" s="8">
        <f>IF(C27="","",IFERROR(VLOOKUP(C27,Insumos!$A:$I,9,FALSE),IFERROR(VLOOKUP(C27,Preparos!$A:$D,4,FALSE),IFERROR(IF(ISNUMBER(MATCH(C27,Fichas!$A:$A,0)),"un",""),""))))</f>
      </c>
      <c r="F27" s="8">
        <f>IF(C27="","",IFERROR(VLOOKUP(C27,Insumos!$A:$G,7,FALSE),100))</f>
      </c>
      <c r="G27" s="9">
        <f>IF(C27="","",IFERROR(VLOOKUP(C27,Insumos!$A:$J,10,FALSE),IFERROR(VLOOKUP(C27,Preparos!$A:$F,6,FALSE),IFERROR(VLOOKUP(C27,Fichas!$A:$D,4,FALSE),0))))</f>
      </c>
      <c r="H27" s="10">
        <f>IF(OR(D27="",G27="",F27=0),"",D27*G27*(100/F27))</f>
      </c>
      <c r="I27" s="5"/>
    </row>
    <row r="28" spans="1:9" x14ac:dyDescent="0.25">
      <c r="A28" s="7"/>
      <c r="B28" s="8">
        <f>IF(C28="","",IF(ISNUMBER(MATCH(C28,Insumos!$A:$A,0)),"insumo",IF(ISNUMBER(MATCH(C28,Preparos!$A:$A,0)),"preparo",IF(ISNUMBER(MATCH(C28,Fichas!$A:$A,0)),"ficha",""))))</f>
      </c>
      <c r="C28" s="7"/>
      <c r="D28" s="7"/>
      <c r="E28" s="8">
        <f>IF(C28="","",IFERROR(VLOOKUP(C28,Insumos!$A:$I,9,FALSE),IFERROR(VLOOKUP(C28,Preparos!$A:$D,4,FALSE),IFERROR(IF(ISNUMBER(MATCH(C28,Fichas!$A:$A,0)),"un",""),""))))</f>
      </c>
      <c r="F28" s="8">
        <f>IF(C28="","",IFERROR(VLOOKUP(C28,Insumos!$A:$G,7,FALSE),100))</f>
      </c>
      <c r="G28" s="9">
        <f>IF(C28="","",IFERROR(VLOOKUP(C28,Insumos!$A:$J,10,FALSE),IFERROR(VLOOKUP(C28,Preparos!$A:$F,6,FALSE),IFERROR(VLOOKUP(C28,Fichas!$A:$D,4,FALSE),0))))</f>
      </c>
      <c r="H28" s="10">
        <f>IF(OR(D28="",G28="",F28=0),"",D28*G28*(100/F28))</f>
      </c>
      <c r="I28" s="5"/>
    </row>
    <row r="29" spans="1:9" x14ac:dyDescent="0.25">
      <c r="A29" s="7"/>
      <c r="B29" s="8">
        <f>IF(C29="","",IF(ISNUMBER(MATCH(C29,Insumos!$A:$A,0)),"insumo",IF(ISNUMBER(MATCH(C29,Preparos!$A:$A,0)),"preparo",IF(ISNUMBER(MATCH(C29,Fichas!$A:$A,0)),"ficha",""))))</f>
      </c>
      <c r="C29" s="7"/>
      <c r="D29" s="7"/>
      <c r="E29" s="8">
        <f>IF(C29="","",IFERROR(VLOOKUP(C29,Insumos!$A:$I,9,FALSE),IFERROR(VLOOKUP(C29,Preparos!$A:$D,4,FALSE),IFERROR(IF(ISNUMBER(MATCH(C29,Fichas!$A:$A,0)),"un",""),""))))</f>
      </c>
      <c r="F29" s="8">
        <f>IF(C29="","",IFERROR(VLOOKUP(C29,Insumos!$A:$G,7,FALSE),100))</f>
      </c>
      <c r="G29" s="9">
        <f>IF(C29="","",IFERROR(VLOOKUP(C29,Insumos!$A:$J,10,FALSE),IFERROR(VLOOKUP(C29,Preparos!$A:$F,6,FALSE),IFERROR(VLOOKUP(C29,Fichas!$A:$D,4,FALSE),0))))</f>
      </c>
      <c r="H29" s="10">
        <f>IF(OR(D29="",G29="",F29=0),"",D29*G29*(100/F29))</f>
      </c>
      <c r="I29" s="5"/>
    </row>
    <row r="30" spans="1:9" x14ac:dyDescent="0.25">
      <c r="A30" s="7"/>
      <c r="B30" s="8">
        <f>IF(C30="","",IF(ISNUMBER(MATCH(C30,Insumos!$A:$A,0)),"insumo",IF(ISNUMBER(MATCH(C30,Preparos!$A:$A,0)),"preparo",IF(ISNUMBER(MATCH(C30,Fichas!$A:$A,0)),"ficha",""))))</f>
      </c>
      <c r="C30" s="7"/>
      <c r="D30" s="7"/>
      <c r="E30" s="8">
        <f>IF(C30="","",IFERROR(VLOOKUP(C30,Insumos!$A:$I,9,FALSE),IFERROR(VLOOKUP(C30,Preparos!$A:$D,4,FALSE),IFERROR(IF(ISNUMBER(MATCH(C30,Fichas!$A:$A,0)),"un",""),""))))</f>
      </c>
      <c r="F30" s="8">
        <f>IF(C30="","",IFERROR(VLOOKUP(C30,Insumos!$A:$G,7,FALSE),100))</f>
      </c>
      <c r="G30" s="9">
        <f>IF(C30="","",IFERROR(VLOOKUP(C30,Insumos!$A:$J,10,FALSE),IFERROR(VLOOKUP(C30,Preparos!$A:$F,6,FALSE),IFERROR(VLOOKUP(C30,Fichas!$A:$D,4,FALSE),0))))</f>
      </c>
      <c r="H30" s="10">
        <f>IF(OR(D30="",G30="",F30=0),"",D30*G30*(100/F30))</f>
      </c>
      <c r="I30" s="5"/>
    </row>
    <row r="31" spans="1:9" x14ac:dyDescent="0.25">
      <c r="A31" s="7"/>
      <c r="B31" s="8">
        <f>IF(C31="","",IF(ISNUMBER(MATCH(C31,Insumos!$A:$A,0)),"insumo",IF(ISNUMBER(MATCH(C31,Preparos!$A:$A,0)),"preparo",IF(ISNUMBER(MATCH(C31,Fichas!$A:$A,0)),"ficha",""))))</f>
      </c>
      <c r="C31" s="7"/>
      <c r="D31" s="7"/>
      <c r="E31" s="8">
        <f>IF(C31="","",IFERROR(VLOOKUP(C31,Insumos!$A:$I,9,FALSE),IFERROR(VLOOKUP(C31,Preparos!$A:$D,4,FALSE),IFERROR(IF(ISNUMBER(MATCH(C31,Fichas!$A:$A,0)),"un",""),""))))</f>
      </c>
      <c r="F31" s="8">
        <f>IF(C31="","",IFERROR(VLOOKUP(C31,Insumos!$A:$G,7,FALSE),100))</f>
      </c>
      <c r="G31" s="9">
        <f>IF(C31="","",IFERROR(VLOOKUP(C31,Insumos!$A:$J,10,FALSE),IFERROR(VLOOKUP(C31,Preparos!$A:$F,6,FALSE),IFERROR(VLOOKUP(C31,Fichas!$A:$D,4,FALSE),0))))</f>
      </c>
      <c r="H31" s="10">
        <f>IF(OR(D31="",G31="",F31=0),"",D31*G31*(100/F31))</f>
      </c>
      <c r="I31" s="5"/>
    </row>
    <row r="32" spans="1:9" x14ac:dyDescent="0.25">
      <c r="A32" s="7"/>
      <c r="B32" s="8">
        <f>IF(C32="","",IF(ISNUMBER(MATCH(C32,Insumos!$A:$A,0)),"insumo",IF(ISNUMBER(MATCH(C32,Preparos!$A:$A,0)),"preparo",IF(ISNUMBER(MATCH(C32,Fichas!$A:$A,0)),"ficha",""))))</f>
      </c>
      <c r="C32" s="7"/>
      <c r="D32" s="7"/>
      <c r="E32" s="8">
        <f>IF(C32="","",IFERROR(VLOOKUP(C32,Insumos!$A:$I,9,FALSE),IFERROR(VLOOKUP(C32,Preparos!$A:$D,4,FALSE),IFERROR(IF(ISNUMBER(MATCH(C32,Fichas!$A:$A,0)),"un",""),""))))</f>
      </c>
      <c r="F32" s="8">
        <f>IF(C32="","",IFERROR(VLOOKUP(C32,Insumos!$A:$G,7,FALSE),100))</f>
      </c>
      <c r="G32" s="9">
        <f>IF(C32="","",IFERROR(VLOOKUP(C32,Insumos!$A:$J,10,FALSE),IFERROR(VLOOKUP(C32,Preparos!$A:$F,6,FALSE),IFERROR(VLOOKUP(C32,Fichas!$A:$D,4,FALSE),0))))</f>
      </c>
      <c r="H32" s="10">
        <f>IF(OR(D32="",G32="",F32=0),"",D32*G32*(100/F32))</f>
      </c>
      <c r="I32" s="5"/>
    </row>
    <row r="33" spans="1:9" x14ac:dyDescent="0.25">
      <c r="A33" s="7"/>
      <c r="B33" s="8">
        <f>IF(C33="","",IF(ISNUMBER(MATCH(C33,Insumos!$A:$A,0)),"insumo",IF(ISNUMBER(MATCH(C33,Preparos!$A:$A,0)),"preparo",IF(ISNUMBER(MATCH(C33,Fichas!$A:$A,0)),"ficha",""))))</f>
      </c>
      <c r="C33" s="7"/>
      <c r="D33" s="7"/>
      <c r="E33" s="8">
        <f>IF(C33="","",IFERROR(VLOOKUP(C33,Insumos!$A:$I,9,FALSE),IFERROR(VLOOKUP(C33,Preparos!$A:$D,4,FALSE),IFERROR(IF(ISNUMBER(MATCH(C33,Fichas!$A:$A,0)),"un",""),""))))</f>
      </c>
      <c r="F33" s="8">
        <f>IF(C33="","",IFERROR(VLOOKUP(C33,Insumos!$A:$G,7,FALSE),100))</f>
      </c>
      <c r="G33" s="9">
        <f>IF(C33="","",IFERROR(VLOOKUP(C33,Insumos!$A:$J,10,FALSE),IFERROR(VLOOKUP(C33,Preparos!$A:$F,6,FALSE),IFERROR(VLOOKUP(C33,Fichas!$A:$D,4,FALSE),0))))</f>
      </c>
      <c r="H33" s="10">
        <f>IF(OR(D33="",G33="",F33=0),"",D33*G33*(100/F33))</f>
      </c>
      <c r="I33" s="5"/>
    </row>
    <row r="34" spans="1:9" x14ac:dyDescent="0.25">
      <c r="A34" s="7"/>
      <c r="B34" s="8">
        <f>IF(C34="","",IF(ISNUMBER(MATCH(C34,Insumos!$A:$A,0)),"insumo",IF(ISNUMBER(MATCH(C34,Preparos!$A:$A,0)),"preparo",IF(ISNUMBER(MATCH(C34,Fichas!$A:$A,0)),"ficha",""))))</f>
      </c>
      <c r="C34" s="7"/>
      <c r="D34" s="7"/>
      <c r="E34" s="8">
        <f>IF(C34="","",IFERROR(VLOOKUP(C34,Insumos!$A:$I,9,FALSE),IFERROR(VLOOKUP(C34,Preparos!$A:$D,4,FALSE),IFERROR(IF(ISNUMBER(MATCH(C34,Fichas!$A:$A,0)),"un",""),""))))</f>
      </c>
      <c r="F34" s="8">
        <f>IF(C34="","",IFERROR(VLOOKUP(C34,Insumos!$A:$G,7,FALSE),100))</f>
      </c>
      <c r="G34" s="9">
        <f>IF(C34="","",IFERROR(VLOOKUP(C34,Insumos!$A:$J,10,FALSE),IFERROR(VLOOKUP(C34,Preparos!$A:$F,6,FALSE),IFERROR(VLOOKUP(C34,Fichas!$A:$D,4,FALSE),0))))</f>
      </c>
      <c r="H34" s="10">
        <f>IF(OR(D34="",G34="",F34=0),"",D34*G34*(100/F34))</f>
      </c>
      <c r="I34" s="5"/>
    </row>
    <row r="35" spans="1:9" x14ac:dyDescent="0.25">
      <c r="A35" s="7"/>
      <c r="B35" s="8">
        <f>IF(C35="","",IF(ISNUMBER(MATCH(C35,Insumos!$A:$A,0)),"insumo",IF(ISNUMBER(MATCH(C35,Preparos!$A:$A,0)),"preparo",IF(ISNUMBER(MATCH(C35,Fichas!$A:$A,0)),"ficha",""))))</f>
      </c>
      <c r="C35" s="7"/>
      <c r="D35" s="7"/>
      <c r="E35" s="8">
        <f>IF(C35="","",IFERROR(VLOOKUP(C35,Insumos!$A:$I,9,FALSE),IFERROR(VLOOKUP(C35,Preparos!$A:$D,4,FALSE),IFERROR(IF(ISNUMBER(MATCH(C35,Fichas!$A:$A,0)),"un",""),""))))</f>
      </c>
      <c r="F35" s="8">
        <f>IF(C35="","",IFERROR(VLOOKUP(C35,Insumos!$A:$G,7,FALSE),100))</f>
      </c>
      <c r="G35" s="9">
        <f>IF(C35="","",IFERROR(VLOOKUP(C35,Insumos!$A:$J,10,FALSE),IFERROR(VLOOKUP(C35,Preparos!$A:$F,6,FALSE),IFERROR(VLOOKUP(C35,Fichas!$A:$D,4,FALSE),0))))</f>
      </c>
      <c r="H35" s="10">
        <f>IF(OR(D35="",G35="",F35=0),"",D35*G35*(100/F35))</f>
      </c>
      <c r="I35" s="5"/>
    </row>
    <row r="36" spans="1:9" x14ac:dyDescent="0.25">
      <c r="A36" s="7"/>
      <c r="B36" s="8">
        <f>IF(C36="","",IF(ISNUMBER(MATCH(C36,Insumos!$A:$A,0)),"insumo",IF(ISNUMBER(MATCH(C36,Preparos!$A:$A,0)),"preparo",IF(ISNUMBER(MATCH(C36,Fichas!$A:$A,0)),"ficha",""))))</f>
      </c>
      <c r="C36" s="7"/>
      <c r="D36" s="7"/>
      <c r="E36" s="8">
        <f>IF(C36="","",IFERROR(VLOOKUP(C36,Insumos!$A:$I,9,FALSE),IFERROR(VLOOKUP(C36,Preparos!$A:$D,4,FALSE),IFERROR(IF(ISNUMBER(MATCH(C36,Fichas!$A:$A,0)),"un",""),""))))</f>
      </c>
      <c r="F36" s="8">
        <f>IF(C36="","",IFERROR(VLOOKUP(C36,Insumos!$A:$G,7,FALSE),100))</f>
      </c>
      <c r="G36" s="9">
        <f>IF(C36="","",IFERROR(VLOOKUP(C36,Insumos!$A:$J,10,FALSE),IFERROR(VLOOKUP(C36,Preparos!$A:$F,6,FALSE),IFERROR(VLOOKUP(C36,Fichas!$A:$D,4,FALSE),0))))</f>
      </c>
      <c r="H36" s="10">
        <f>IF(OR(D36="",G36="",F36=0),"",D36*G36*(100/F36))</f>
      </c>
      <c r="I36" s="5"/>
    </row>
    <row r="37" spans="1:9" x14ac:dyDescent="0.25">
      <c r="A37" s="7"/>
      <c r="B37" s="8">
        <f>IF(C37="","",IF(ISNUMBER(MATCH(C37,Insumos!$A:$A,0)),"insumo",IF(ISNUMBER(MATCH(C37,Preparos!$A:$A,0)),"preparo",IF(ISNUMBER(MATCH(C37,Fichas!$A:$A,0)),"ficha",""))))</f>
      </c>
      <c r="C37" s="7"/>
      <c r="D37" s="7"/>
      <c r="E37" s="8">
        <f>IF(C37="","",IFERROR(VLOOKUP(C37,Insumos!$A:$I,9,FALSE),IFERROR(VLOOKUP(C37,Preparos!$A:$D,4,FALSE),IFERROR(IF(ISNUMBER(MATCH(C37,Fichas!$A:$A,0)),"un",""),""))))</f>
      </c>
      <c r="F37" s="8">
        <f>IF(C37="","",IFERROR(VLOOKUP(C37,Insumos!$A:$G,7,FALSE),100))</f>
      </c>
      <c r="G37" s="9">
        <f>IF(C37="","",IFERROR(VLOOKUP(C37,Insumos!$A:$J,10,FALSE),IFERROR(VLOOKUP(C37,Preparos!$A:$F,6,FALSE),IFERROR(VLOOKUP(C37,Fichas!$A:$D,4,FALSE),0))))</f>
      </c>
      <c r="H37" s="10">
        <f>IF(OR(D37="",G37="",F37=0),"",D37*G37*(100/F37))</f>
      </c>
      <c r="I37" s="5"/>
    </row>
    <row r="38" spans="1:9" x14ac:dyDescent="0.25">
      <c r="A38" s="7"/>
      <c r="B38" s="8">
        <f>IF(C38="","",IF(ISNUMBER(MATCH(C38,Insumos!$A:$A,0)),"insumo",IF(ISNUMBER(MATCH(C38,Preparos!$A:$A,0)),"preparo",IF(ISNUMBER(MATCH(C38,Fichas!$A:$A,0)),"ficha",""))))</f>
      </c>
      <c r="C38" s="7"/>
      <c r="D38" s="7"/>
      <c r="E38" s="8">
        <f>IF(C38="","",IFERROR(VLOOKUP(C38,Insumos!$A:$I,9,FALSE),IFERROR(VLOOKUP(C38,Preparos!$A:$D,4,FALSE),IFERROR(IF(ISNUMBER(MATCH(C38,Fichas!$A:$A,0)),"un",""),""))))</f>
      </c>
      <c r="F38" s="8">
        <f>IF(C38="","",IFERROR(VLOOKUP(C38,Insumos!$A:$G,7,FALSE),100))</f>
      </c>
      <c r="G38" s="9">
        <f>IF(C38="","",IFERROR(VLOOKUP(C38,Insumos!$A:$J,10,FALSE),IFERROR(VLOOKUP(C38,Preparos!$A:$F,6,FALSE),IFERROR(VLOOKUP(C38,Fichas!$A:$D,4,FALSE),0))))</f>
      </c>
      <c r="H38" s="10">
        <f>IF(OR(D38="",G38="",F38=0),"",D38*G38*(100/F38))</f>
      </c>
      <c r="I38" s="5"/>
    </row>
    <row r="39" spans="1:9" x14ac:dyDescent="0.25">
      <c r="A39" s="7"/>
      <c r="B39" s="8">
        <f>IF(C39="","",IF(ISNUMBER(MATCH(C39,Insumos!$A:$A,0)),"insumo",IF(ISNUMBER(MATCH(C39,Preparos!$A:$A,0)),"preparo",IF(ISNUMBER(MATCH(C39,Fichas!$A:$A,0)),"ficha",""))))</f>
      </c>
      <c r="C39" s="7"/>
      <c r="D39" s="7"/>
      <c r="E39" s="8">
        <f>IF(C39="","",IFERROR(VLOOKUP(C39,Insumos!$A:$I,9,FALSE),IFERROR(VLOOKUP(C39,Preparos!$A:$D,4,FALSE),IFERROR(IF(ISNUMBER(MATCH(C39,Fichas!$A:$A,0)),"un",""),""))))</f>
      </c>
      <c r="F39" s="8">
        <f>IF(C39="","",IFERROR(VLOOKUP(C39,Insumos!$A:$G,7,FALSE),100))</f>
      </c>
      <c r="G39" s="9">
        <f>IF(C39="","",IFERROR(VLOOKUP(C39,Insumos!$A:$J,10,FALSE),IFERROR(VLOOKUP(C39,Preparos!$A:$F,6,FALSE),IFERROR(VLOOKUP(C39,Fichas!$A:$D,4,FALSE),0))))</f>
      </c>
      <c r="H39" s="10">
        <f>IF(OR(D39="",G39="",F39=0),"",D39*G39*(100/F39))</f>
      </c>
      <c r="I39" s="5"/>
    </row>
    <row r="40" spans="1:9" x14ac:dyDescent="0.25">
      <c r="A40" s="7"/>
      <c r="B40" s="8">
        <f>IF(C40="","",IF(ISNUMBER(MATCH(C40,Insumos!$A:$A,0)),"insumo",IF(ISNUMBER(MATCH(C40,Preparos!$A:$A,0)),"preparo",IF(ISNUMBER(MATCH(C40,Fichas!$A:$A,0)),"ficha",""))))</f>
      </c>
      <c r="C40" s="7"/>
      <c r="D40" s="7"/>
      <c r="E40" s="8">
        <f>IF(C40="","",IFERROR(VLOOKUP(C40,Insumos!$A:$I,9,FALSE),IFERROR(VLOOKUP(C40,Preparos!$A:$D,4,FALSE),IFERROR(IF(ISNUMBER(MATCH(C40,Fichas!$A:$A,0)),"un",""),""))))</f>
      </c>
      <c r="F40" s="8">
        <f>IF(C40="","",IFERROR(VLOOKUP(C40,Insumos!$A:$G,7,FALSE),100))</f>
      </c>
      <c r="G40" s="9">
        <f>IF(C40="","",IFERROR(VLOOKUP(C40,Insumos!$A:$J,10,FALSE),IFERROR(VLOOKUP(C40,Preparos!$A:$F,6,FALSE),IFERROR(VLOOKUP(C40,Fichas!$A:$D,4,FALSE),0))))</f>
      </c>
      <c r="H40" s="10">
        <f>IF(OR(D40="",G40="",F40=0),"",D40*G40*(100/F40))</f>
      </c>
      <c r="I40" s="5"/>
    </row>
    <row r="41" spans="1:9" x14ac:dyDescent="0.25">
      <c r="A41" s="7"/>
      <c r="B41" s="8">
        <f>IF(C41="","",IF(ISNUMBER(MATCH(C41,Insumos!$A:$A,0)),"insumo",IF(ISNUMBER(MATCH(C41,Preparos!$A:$A,0)),"preparo",IF(ISNUMBER(MATCH(C41,Fichas!$A:$A,0)),"ficha",""))))</f>
      </c>
      <c r="C41" s="7"/>
      <c r="D41" s="7"/>
      <c r="E41" s="8">
        <f>IF(C41="","",IFERROR(VLOOKUP(C41,Insumos!$A:$I,9,FALSE),IFERROR(VLOOKUP(C41,Preparos!$A:$D,4,FALSE),IFERROR(IF(ISNUMBER(MATCH(C41,Fichas!$A:$A,0)),"un",""),""))))</f>
      </c>
      <c r="F41" s="8">
        <f>IF(C41="","",IFERROR(VLOOKUP(C41,Insumos!$A:$G,7,FALSE),100))</f>
      </c>
      <c r="G41" s="9">
        <f>IF(C41="","",IFERROR(VLOOKUP(C41,Insumos!$A:$J,10,FALSE),IFERROR(VLOOKUP(C41,Preparos!$A:$F,6,FALSE),IFERROR(VLOOKUP(C41,Fichas!$A:$D,4,FALSE),0))))</f>
      </c>
      <c r="H41" s="10">
        <f>IF(OR(D41="",G41="",F41=0),"",D41*G41*(100/F41))</f>
      </c>
      <c r="I41" s="5"/>
    </row>
    <row r="42" spans="1:9" x14ac:dyDescent="0.25">
      <c r="A42" s="7"/>
      <c r="B42" s="8">
        <f>IF(C42="","",IF(ISNUMBER(MATCH(C42,Insumos!$A:$A,0)),"insumo",IF(ISNUMBER(MATCH(C42,Preparos!$A:$A,0)),"preparo",IF(ISNUMBER(MATCH(C42,Fichas!$A:$A,0)),"ficha",""))))</f>
      </c>
      <c r="C42" s="7"/>
      <c r="D42" s="7"/>
      <c r="E42" s="8">
        <f>IF(C42="","",IFERROR(VLOOKUP(C42,Insumos!$A:$I,9,FALSE),IFERROR(VLOOKUP(C42,Preparos!$A:$D,4,FALSE),IFERROR(IF(ISNUMBER(MATCH(C42,Fichas!$A:$A,0)),"un",""),""))))</f>
      </c>
      <c r="F42" s="8">
        <f>IF(C42="","",IFERROR(VLOOKUP(C42,Insumos!$A:$G,7,FALSE),100))</f>
      </c>
      <c r="G42" s="9">
        <f>IF(C42="","",IFERROR(VLOOKUP(C42,Insumos!$A:$J,10,FALSE),IFERROR(VLOOKUP(C42,Preparos!$A:$F,6,FALSE),IFERROR(VLOOKUP(C42,Fichas!$A:$D,4,FALSE),0))))</f>
      </c>
      <c r="H42" s="10">
        <f>IF(OR(D42="",G42="",F42=0),"",D42*G42*(100/F42))</f>
      </c>
      <c r="I42" s="5"/>
    </row>
    <row r="43" spans="1:9" x14ac:dyDescent="0.25">
      <c r="A43" s="7"/>
      <c r="B43" s="8">
        <f>IF(C43="","",IF(ISNUMBER(MATCH(C43,Insumos!$A:$A,0)),"insumo",IF(ISNUMBER(MATCH(C43,Preparos!$A:$A,0)),"preparo",IF(ISNUMBER(MATCH(C43,Fichas!$A:$A,0)),"ficha",""))))</f>
      </c>
      <c r="C43" s="7"/>
      <c r="D43" s="7"/>
      <c r="E43" s="8">
        <f>IF(C43="","",IFERROR(VLOOKUP(C43,Insumos!$A:$I,9,FALSE),IFERROR(VLOOKUP(C43,Preparos!$A:$D,4,FALSE),IFERROR(IF(ISNUMBER(MATCH(C43,Fichas!$A:$A,0)),"un",""),""))))</f>
      </c>
      <c r="F43" s="8">
        <f>IF(C43="","",IFERROR(VLOOKUP(C43,Insumos!$A:$G,7,FALSE),100))</f>
      </c>
      <c r="G43" s="9">
        <f>IF(C43="","",IFERROR(VLOOKUP(C43,Insumos!$A:$J,10,FALSE),IFERROR(VLOOKUP(C43,Preparos!$A:$F,6,FALSE),IFERROR(VLOOKUP(C43,Fichas!$A:$D,4,FALSE),0))))</f>
      </c>
      <c r="H43" s="10">
        <f>IF(OR(D43="",G43="",F43=0),"",D43*G43*(100/F43))</f>
      </c>
      <c r="I43" s="5"/>
    </row>
    <row r="44" spans="1:9" x14ac:dyDescent="0.25">
      <c r="A44" s="7"/>
      <c r="B44" s="8">
        <f>IF(C44="","",IF(ISNUMBER(MATCH(C44,Insumos!$A:$A,0)),"insumo",IF(ISNUMBER(MATCH(C44,Preparos!$A:$A,0)),"preparo",IF(ISNUMBER(MATCH(C44,Fichas!$A:$A,0)),"ficha",""))))</f>
      </c>
      <c r="C44" s="7"/>
      <c r="D44" s="7"/>
      <c r="E44" s="8">
        <f>IF(C44="","",IFERROR(VLOOKUP(C44,Insumos!$A:$I,9,FALSE),IFERROR(VLOOKUP(C44,Preparos!$A:$D,4,FALSE),IFERROR(IF(ISNUMBER(MATCH(C44,Fichas!$A:$A,0)),"un",""),""))))</f>
      </c>
      <c r="F44" s="8">
        <f>IF(C44="","",IFERROR(VLOOKUP(C44,Insumos!$A:$G,7,FALSE),100))</f>
      </c>
      <c r="G44" s="9">
        <f>IF(C44="","",IFERROR(VLOOKUP(C44,Insumos!$A:$J,10,FALSE),IFERROR(VLOOKUP(C44,Preparos!$A:$F,6,FALSE),IFERROR(VLOOKUP(C44,Fichas!$A:$D,4,FALSE),0))))</f>
      </c>
      <c r="H44" s="10">
        <f>IF(OR(D44="",G44="",F44=0),"",D44*G44*(100/F44))</f>
      </c>
      <c r="I44" s="5"/>
    </row>
    <row r="45" spans="1:9" x14ac:dyDescent="0.25">
      <c r="A45" s="7"/>
      <c r="B45" s="8">
        <f>IF(C45="","",IF(ISNUMBER(MATCH(C45,Insumos!$A:$A,0)),"insumo",IF(ISNUMBER(MATCH(C45,Preparos!$A:$A,0)),"preparo",IF(ISNUMBER(MATCH(C45,Fichas!$A:$A,0)),"ficha",""))))</f>
      </c>
      <c r="C45" s="7"/>
      <c r="D45" s="7"/>
      <c r="E45" s="8">
        <f>IF(C45="","",IFERROR(VLOOKUP(C45,Insumos!$A:$I,9,FALSE),IFERROR(VLOOKUP(C45,Preparos!$A:$D,4,FALSE),IFERROR(IF(ISNUMBER(MATCH(C45,Fichas!$A:$A,0)),"un",""),""))))</f>
      </c>
      <c r="F45" s="8">
        <f>IF(C45="","",IFERROR(VLOOKUP(C45,Insumos!$A:$G,7,FALSE),100))</f>
      </c>
      <c r="G45" s="9">
        <f>IF(C45="","",IFERROR(VLOOKUP(C45,Insumos!$A:$J,10,FALSE),IFERROR(VLOOKUP(C45,Preparos!$A:$F,6,FALSE),IFERROR(VLOOKUP(C45,Fichas!$A:$D,4,FALSE),0))))</f>
      </c>
      <c r="H45" s="10">
        <f>IF(OR(D45="",G45="",F45=0),"",D45*G45*(100/F45))</f>
      </c>
      <c r="I45" s="5"/>
    </row>
    <row r="46" spans="1:9" x14ac:dyDescent="0.25">
      <c r="A46" s="7"/>
      <c r="B46" s="8">
        <f>IF(C46="","",IF(ISNUMBER(MATCH(C46,Insumos!$A:$A,0)),"insumo",IF(ISNUMBER(MATCH(C46,Preparos!$A:$A,0)),"preparo",IF(ISNUMBER(MATCH(C46,Fichas!$A:$A,0)),"ficha",""))))</f>
      </c>
      <c r="C46" s="7"/>
      <c r="D46" s="7"/>
      <c r="E46" s="8">
        <f>IF(C46="","",IFERROR(VLOOKUP(C46,Insumos!$A:$I,9,FALSE),IFERROR(VLOOKUP(C46,Preparos!$A:$D,4,FALSE),IFERROR(IF(ISNUMBER(MATCH(C46,Fichas!$A:$A,0)),"un",""),""))))</f>
      </c>
      <c r="F46" s="8">
        <f>IF(C46="","",IFERROR(VLOOKUP(C46,Insumos!$A:$G,7,FALSE),100))</f>
      </c>
      <c r="G46" s="9">
        <f>IF(C46="","",IFERROR(VLOOKUP(C46,Insumos!$A:$J,10,FALSE),IFERROR(VLOOKUP(C46,Preparos!$A:$F,6,FALSE),IFERROR(VLOOKUP(C46,Fichas!$A:$D,4,FALSE),0))))</f>
      </c>
      <c r="H46" s="10">
        <f>IF(OR(D46="",G46="",F46=0),"",D46*G46*(100/F46))</f>
      </c>
      <c r="I46" s="5"/>
    </row>
    <row r="47" spans="1:9" x14ac:dyDescent="0.25">
      <c r="A47" s="7"/>
      <c r="B47" s="8">
        <f>IF(C47="","",IF(ISNUMBER(MATCH(C47,Insumos!$A:$A,0)),"insumo",IF(ISNUMBER(MATCH(C47,Preparos!$A:$A,0)),"preparo",IF(ISNUMBER(MATCH(C47,Fichas!$A:$A,0)),"ficha",""))))</f>
      </c>
      <c r="C47" s="7"/>
      <c r="D47" s="7"/>
      <c r="E47" s="8">
        <f>IF(C47="","",IFERROR(VLOOKUP(C47,Insumos!$A:$I,9,FALSE),IFERROR(VLOOKUP(C47,Preparos!$A:$D,4,FALSE),IFERROR(IF(ISNUMBER(MATCH(C47,Fichas!$A:$A,0)),"un",""),""))))</f>
      </c>
      <c r="F47" s="8">
        <f>IF(C47="","",IFERROR(VLOOKUP(C47,Insumos!$A:$G,7,FALSE),100))</f>
      </c>
      <c r="G47" s="9">
        <f>IF(C47="","",IFERROR(VLOOKUP(C47,Insumos!$A:$J,10,FALSE),IFERROR(VLOOKUP(C47,Preparos!$A:$F,6,FALSE),IFERROR(VLOOKUP(C47,Fichas!$A:$D,4,FALSE),0))))</f>
      </c>
      <c r="H47" s="10">
        <f>IF(OR(D47="",G47="",F47=0),"",D47*G47*(100/F47))</f>
      </c>
      <c r="I47" s="5"/>
    </row>
    <row r="48" spans="1:9" x14ac:dyDescent="0.25">
      <c r="A48" s="7"/>
      <c r="B48" s="8">
        <f>IF(C48="","",IF(ISNUMBER(MATCH(C48,Insumos!$A:$A,0)),"insumo",IF(ISNUMBER(MATCH(C48,Preparos!$A:$A,0)),"preparo",IF(ISNUMBER(MATCH(C48,Fichas!$A:$A,0)),"ficha",""))))</f>
      </c>
      <c r="C48" s="7"/>
      <c r="D48" s="7"/>
      <c r="E48" s="8">
        <f>IF(C48="","",IFERROR(VLOOKUP(C48,Insumos!$A:$I,9,FALSE),IFERROR(VLOOKUP(C48,Preparos!$A:$D,4,FALSE),IFERROR(IF(ISNUMBER(MATCH(C48,Fichas!$A:$A,0)),"un",""),""))))</f>
      </c>
      <c r="F48" s="8">
        <f>IF(C48="","",IFERROR(VLOOKUP(C48,Insumos!$A:$G,7,FALSE),100))</f>
      </c>
      <c r="G48" s="9">
        <f>IF(C48="","",IFERROR(VLOOKUP(C48,Insumos!$A:$J,10,FALSE),IFERROR(VLOOKUP(C48,Preparos!$A:$F,6,FALSE),IFERROR(VLOOKUP(C48,Fichas!$A:$D,4,FALSE),0))))</f>
      </c>
      <c r="H48" s="10">
        <f>IF(OR(D48="",G48="",F48=0),"",D48*G48*(100/F48))</f>
      </c>
      <c r="I48" s="5"/>
    </row>
    <row r="49" spans="1:9" x14ac:dyDescent="0.25">
      <c r="A49" s="7"/>
      <c r="B49" s="8">
        <f>IF(C49="","",IF(ISNUMBER(MATCH(C49,Insumos!$A:$A,0)),"insumo",IF(ISNUMBER(MATCH(C49,Preparos!$A:$A,0)),"preparo",IF(ISNUMBER(MATCH(C49,Fichas!$A:$A,0)),"ficha",""))))</f>
      </c>
      <c r="C49" s="7"/>
      <c r="D49" s="7"/>
      <c r="E49" s="8">
        <f>IF(C49="","",IFERROR(VLOOKUP(C49,Insumos!$A:$I,9,FALSE),IFERROR(VLOOKUP(C49,Preparos!$A:$D,4,FALSE),IFERROR(IF(ISNUMBER(MATCH(C49,Fichas!$A:$A,0)),"un",""),""))))</f>
      </c>
      <c r="F49" s="8">
        <f>IF(C49="","",IFERROR(VLOOKUP(C49,Insumos!$A:$G,7,FALSE),100))</f>
      </c>
      <c r="G49" s="9">
        <f>IF(C49="","",IFERROR(VLOOKUP(C49,Insumos!$A:$J,10,FALSE),IFERROR(VLOOKUP(C49,Preparos!$A:$F,6,FALSE),IFERROR(VLOOKUP(C49,Fichas!$A:$D,4,FALSE),0))))</f>
      </c>
      <c r="H49" s="10">
        <f>IF(OR(D49="",G49="",F49=0),"",D49*G49*(100/F49))</f>
      </c>
      <c r="I49" s="5"/>
    </row>
    <row r="50" spans="1:9" x14ac:dyDescent="0.25">
      <c r="A50" s="7"/>
      <c r="B50" s="8">
        <f>IF(C50="","",IF(ISNUMBER(MATCH(C50,Insumos!$A:$A,0)),"insumo",IF(ISNUMBER(MATCH(C50,Preparos!$A:$A,0)),"preparo",IF(ISNUMBER(MATCH(C50,Fichas!$A:$A,0)),"ficha",""))))</f>
      </c>
      <c r="C50" s="7"/>
      <c r="D50" s="7"/>
      <c r="E50" s="8">
        <f>IF(C50="","",IFERROR(VLOOKUP(C50,Insumos!$A:$I,9,FALSE),IFERROR(VLOOKUP(C50,Preparos!$A:$D,4,FALSE),IFERROR(IF(ISNUMBER(MATCH(C50,Fichas!$A:$A,0)),"un",""),""))))</f>
      </c>
      <c r="F50" s="8">
        <f>IF(C50="","",IFERROR(VLOOKUP(C50,Insumos!$A:$G,7,FALSE),100))</f>
      </c>
      <c r="G50" s="9">
        <f>IF(C50="","",IFERROR(VLOOKUP(C50,Insumos!$A:$J,10,FALSE),IFERROR(VLOOKUP(C50,Preparos!$A:$F,6,FALSE),IFERROR(VLOOKUP(C50,Fichas!$A:$D,4,FALSE),0))))</f>
      </c>
      <c r="H50" s="10">
        <f>IF(OR(D50="",G50="",F50=0),"",D50*G50*(100/F50))</f>
      </c>
      <c r="I50" s="5"/>
    </row>
    <row r="51" spans="1:9" x14ac:dyDescent="0.25">
      <c r="A51" s="7"/>
      <c r="B51" s="8">
        <f>IF(C51="","",IF(ISNUMBER(MATCH(C51,Insumos!$A:$A,0)),"insumo",IF(ISNUMBER(MATCH(C51,Preparos!$A:$A,0)),"preparo",IF(ISNUMBER(MATCH(C51,Fichas!$A:$A,0)),"ficha",""))))</f>
      </c>
      <c r="C51" s="7"/>
      <c r="D51" s="7"/>
      <c r="E51" s="8">
        <f>IF(C51="","",IFERROR(VLOOKUP(C51,Insumos!$A:$I,9,FALSE),IFERROR(VLOOKUP(C51,Preparos!$A:$D,4,FALSE),IFERROR(IF(ISNUMBER(MATCH(C51,Fichas!$A:$A,0)),"un",""),""))))</f>
      </c>
      <c r="F51" s="8">
        <f>IF(C51="","",IFERROR(VLOOKUP(C51,Insumos!$A:$G,7,FALSE),100))</f>
      </c>
      <c r="G51" s="9">
        <f>IF(C51="","",IFERROR(VLOOKUP(C51,Insumos!$A:$J,10,FALSE),IFERROR(VLOOKUP(C51,Preparos!$A:$F,6,FALSE),IFERROR(VLOOKUP(C51,Fichas!$A:$D,4,FALSE),0))))</f>
      </c>
      <c r="H51" s="10">
        <f>IF(OR(D51="",G51="",F51=0),"",D51*G51*(100/F51))</f>
      </c>
      <c r="I51" s="5"/>
    </row>
    <row r="52" spans="1:9" x14ac:dyDescent="0.25">
      <c r="A52" s="7"/>
      <c r="B52" s="8">
        <f>IF(C52="","",IF(ISNUMBER(MATCH(C52,Insumos!$A:$A,0)),"insumo",IF(ISNUMBER(MATCH(C52,Preparos!$A:$A,0)),"preparo",IF(ISNUMBER(MATCH(C52,Fichas!$A:$A,0)),"ficha",""))))</f>
      </c>
      <c r="C52" s="7"/>
      <c r="D52" s="7"/>
      <c r="E52" s="8">
        <f>IF(C52="","",IFERROR(VLOOKUP(C52,Insumos!$A:$I,9,FALSE),IFERROR(VLOOKUP(C52,Preparos!$A:$D,4,FALSE),IFERROR(IF(ISNUMBER(MATCH(C52,Fichas!$A:$A,0)),"un",""),""))))</f>
      </c>
      <c r="F52" s="8">
        <f>IF(C52="","",IFERROR(VLOOKUP(C52,Insumos!$A:$G,7,FALSE),100))</f>
      </c>
      <c r="G52" s="9">
        <f>IF(C52="","",IFERROR(VLOOKUP(C52,Insumos!$A:$J,10,FALSE),IFERROR(VLOOKUP(C52,Preparos!$A:$F,6,FALSE),IFERROR(VLOOKUP(C52,Fichas!$A:$D,4,FALSE),0))))</f>
      </c>
      <c r="H52" s="10">
        <f>IF(OR(D52="",G52="",F52=0),"",D52*G52*(100/F52))</f>
      </c>
      <c r="I52" s="5"/>
    </row>
    <row r="53" spans="1:9" x14ac:dyDescent="0.25">
      <c r="A53" s="7"/>
      <c r="B53" s="8">
        <f>IF(C53="","",IF(ISNUMBER(MATCH(C53,Insumos!$A:$A,0)),"insumo",IF(ISNUMBER(MATCH(C53,Preparos!$A:$A,0)),"preparo",IF(ISNUMBER(MATCH(C53,Fichas!$A:$A,0)),"ficha",""))))</f>
      </c>
      <c r="C53" s="7"/>
      <c r="D53" s="7"/>
      <c r="E53" s="8">
        <f>IF(C53="","",IFERROR(VLOOKUP(C53,Insumos!$A:$I,9,FALSE),IFERROR(VLOOKUP(C53,Preparos!$A:$D,4,FALSE),IFERROR(IF(ISNUMBER(MATCH(C53,Fichas!$A:$A,0)),"un",""),""))))</f>
      </c>
      <c r="F53" s="8">
        <f>IF(C53="","",IFERROR(VLOOKUP(C53,Insumos!$A:$G,7,FALSE),100))</f>
      </c>
      <c r="G53" s="9">
        <f>IF(C53="","",IFERROR(VLOOKUP(C53,Insumos!$A:$J,10,FALSE),IFERROR(VLOOKUP(C53,Preparos!$A:$F,6,FALSE),IFERROR(VLOOKUP(C53,Fichas!$A:$D,4,FALSE),0))))</f>
      </c>
      <c r="H53" s="10">
        <f>IF(OR(D53="",G53="",F53=0),"",D53*G53*(100/F53))</f>
      </c>
      <c r="I53" s="5"/>
    </row>
    <row r="54" spans="1:9" x14ac:dyDescent="0.25">
      <c r="A54" s="7"/>
      <c r="B54" s="8">
        <f>IF(C54="","",IF(ISNUMBER(MATCH(C54,Insumos!$A:$A,0)),"insumo",IF(ISNUMBER(MATCH(C54,Preparos!$A:$A,0)),"preparo",IF(ISNUMBER(MATCH(C54,Fichas!$A:$A,0)),"ficha",""))))</f>
      </c>
      <c r="C54" s="7"/>
      <c r="D54" s="7"/>
      <c r="E54" s="8">
        <f>IF(C54="","",IFERROR(VLOOKUP(C54,Insumos!$A:$I,9,FALSE),IFERROR(VLOOKUP(C54,Preparos!$A:$D,4,FALSE),IFERROR(IF(ISNUMBER(MATCH(C54,Fichas!$A:$A,0)),"un",""),""))))</f>
      </c>
      <c r="F54" s="8">
        <f>IF(C54="","",IFERROR(VLOOKUP(C54,Insumos!$A:$G,7,FALSE),100))</f>
      </c>
      <c r="G54" s="9">
        <f>IF(C54="","",IFERROR(VLOOKUP(C54,Insumos!$A:$J,10,FALSE),IFERROR(VLOOKUP(C54,Preparos!$A:$F,6,FALSE),IFERROR(VLOOKUP(C54,Fichas!$A:$D,4,FALSE),0))))</f>
      </c>
      <c r="H54" s="10">
        <f>IF(OR(D54="",G54="",F54=0),"",D54*G54*(100/F54))</f>
      </c>
      <c r="I54" s="5"/>
    </row>
    <row r="55" spans="1:9" x14ac:dyDescent="0.25">
      <c r="A55" s="7"/>
      <c r="B55" s="8">
        <f>IF(C55="","",IF(ISNUMBER(MATCH(C55,Insumos!$A:$A,0)),"insumo",IF(ISNUMBER(MATCH(C55,Preparos!$A:$A,0)),"preparo",IF(ISNUMBER(MATCH(C55,Fichas!$A:$A,0)),"ficha",""))))</f>
      </c>
      <c r="C55" s="7"/>
      <c r="D55" s="7"/>
      <c r="E55" s="8">
        <f>IF(C55="","",IFERROR(VLOOKUP(C55,Insumos!$A:$I,9,FALSE),IFERROR(VLOOKUP(C55,Preparos!$A:$D,4,FALSE),IFERROR(IF(ISNUMBER(MATCH(C55,Fichas!$A:$A,0)),"un",""),""))))</f>
      </c>
      <c r="F55" s="8">
        <f>IF(C55="","",IFERROR(VLOOKUP(C55,Insumos!$A:$G,7,FALSE),100))</f>
      </c>
      <c r="G55" s="9">
        <f>IF(C55="","",IFERROR(VLOOKUP(C55,Insumos!$A:$J,10,FALSE),IFERROR(VLOOKUP(C55,Preparos!$A:$F,6,FALSE),IFERROR(VLOOKUP(C55,Fichas!$A:$D,4,FALSE),0))))</f>
      </c>
      <c r="H55" s="10">
        <f>IF(OR(D55="",G55="",F55=0),"",D55*G55*(100/F55))</f>
      </c>
      <c r="I55" s="5"/>
    </row>
    <row r="56" spans="1:9" x14ac:dyDescent="0.25">
      <c r="A56" s="7"/>
      <c r="B56" s="8">
        <f>IF(C56="","",IF(ISNUMBER(MATCH(C56,Insumos!$A:$A,0)),"insumo",IF(ISNUMBER(MATCH(C56,Preparos!$A:$A,0)),"preparo",IF(ISNUMBER(MATCH(C56,Fichas!$A:$A,0)),"ficha",""))))</f>
      </c>
      <c r="C56" s="7"/>
      <c r="D56" s="7"/>
      <c r="E56" s="8">
        <f>IF(C56="","",IFERROR(VLOOKUP(C56,Insumos!$A:$I,9,FALSE),IFERROR(VLOOKUP(C56,Preparos!$A:$D,4,FALSE),IFERROR(IF(ISNUMBER(MATCH(C56,Fichas!$A:$A,0)),"un",""),""))))</f>
      </c>
      <c r="F56" s="8">
        <f>IF(C56="","",IFERROR(VLOOKUP(C56,Insumos!$A:$G,7,FALSE),100))</f>
      </c>
      <c r="G56" s="9">
        <f>IF(C56="","",IFERROR(VLOOKUP(C56,Insumos!$A:$J,10,FALSE),IFERROR(VLOOKUP(C56,Preparos!$A:$F,6,FALSE),IFERROR(VLOOKUP(C56,Fichas!$A:$D,4,FALSE),0))))</f>
      </c>
      <c r="H56" s="10">
        <f>IF(OR(D56="",G56="",F56=0),"",D56*G56*(100/F56))</f>
      </c>
      <c r="I56" s="5"/>
    </row>
    <row r="57" spans="1:9" x14ac:dyDescent="0.25">
      <c r="A57" s="7"/>
      <c r="B57" s="8">
        <f>IF(C57="","",IF(ISNUMBER(MATCH(C57,Insumos!$A:$A,0)),"insumo",IF(ISNUMBER(MATCH(C57,Preparos!$A:$A,0)),"preparo",IF(ISNUMBER(MATCH(C57,Fichas!$A:$A,0)),"ficha",""))))</f>
      </c>
      <c r="C57" s="7"/>
      <c r="D57" s="7"/>
      <c r="E57" s="8">
        <f>IF(C57="","",IFERROR(VLOOKUP(C57,Insumos!$A:$I,9,FALSE),IFERROR(VLOOKUP(C57,Preparos!$A:$D,4,FALSE),IFERROR(IF(ISNUMBER(MATCH(C57,Fichas!$A:$A,0)),"un",""),""))))</f>
      </c>
      <c r="F57" s="8">
        <f>IF(C57="","",IFERROR(VLOOKUP(C57,Insumos!$A:$G,7,FALSE),100))</f>
      </c>
      <c r="G57" s="9">
        <f>IF(C57="","",IFERROR(VLOOKUP(C57,Insumos!$A:$J,10,FALSE),IFERROR(VLOOKUP(C57,Preparos!$A:$F,6,FALSE),IFERROR(VLOOKUP(C57,Fichas!$A:$D,4,FALSE),0))))</f>
      </c>
      <c r="H57" s="10">
        <f>IF(OR(D57="",G57="",F57=0),"",D57*G57*(100/F57))</f>
      </c>
      <c r="I57" s="5"/>
    </row>
    <row r="58" spans="1:9" x14ac:dyDescent="0.25">
      <c r="A58" s="7"/>
      <c r="B58" s="8">
        <f>IF(C58="","",IF(ISNUMBER(MATCH(C58,Insumos!$A:$A,0)),"insumo",IF(ISNUMBER(MATCH(C58,Preparos!$A:$A,0)),"preparo",IF(ISNUMBER(MATCH(C58,Fichas!$A:$A,0)),"ficha",""))))</f>
      </c>
      <c r="C58" s="7"/>
      <c r="D58" s="7"/>
      <c r="E58" s="8">
        <f>IF(C58="","",IFERROR(VLOOKUP(C58,Insumos!$A:$I,9,FALSE),IFERROR(VLOOKUP(C58,Preparos!$A:$D,4,FALSE),IFERROR(IF(ISNUMBER(MATCH(C58,Fichas!$A:$A,0)),"un",""),""))))</f>
      </c>
      <c r="F58" s="8">
        <f>IF(C58="","",IFERROR(VLOOKUP(C58,Insumos!$A:$G,7,FALSE),100))</f>
      </c>
      <c r="G58" s="9">
        <f>IF(C58="","",IFERROR(VLOOKUP(C58,Insumos!$A:$J,10,FALSE),IFERROR(VLOOKUP(C58,Preparos!$A:$F,6,FALSE),IFERROR(VLOOKUP(C58,Fichas!$A:$D,4,FALSE),0))))</f>
      </c>
      <c r="H58" s="10">
        <f>IF(OR(D58="",G58="",F58=0),"",D58*G58*(100/F58))</f>
      </c>
      <c r="I58" s="5"/>
    </row>
    <row r="59" spans="1:9" x14ac:dyDescent="0.25">
      <c r="A59" s="7"/>
      <c r="B59" s="8">
        <f>IF(C59="","",IF(ISNUMBER(MATCH(C59,Insumos!$A:$A,0)),"insumo",IF(ISNUMBER(MATCH(C59,Preparos!$A:$A,0)),"preparo",IF(ISNUMBER(MATCH(C59,Fichas!$A:$A,0)),"ficha",""))))</f>
      </c>
      <c r="C59" s="7"/>
      <c r="D59" s="7"/>
      <c r="E59" s="8">
        <f>IF(C59="","",IFERROR(VLOOKUP(C59,Insumos!$A:$I,9,FALSE),IFERROR(VLOOKUP(C59,Preparos!$A:$D,4,FALSE),IFERROR(IF(ISNUMBER(MATCH(C59,Fichas!$A:$A,0)),"un",""),""))))</f>
      </c>
      <c r="F59" s="8">
        <f>IF(C59="","",IFERROR(VLOOKUP(C59,Insumos!$A:$G,7,FALSE),100))</f>
      </c>
      <c r="G59" s="9">
        <f>IF(C59="","",IFERROR(VLOOKUP(C59,Insumos!$A:$J,10,FALSE),IFERROR(VLOOKUP(C59,Preparos!$A:$F,6,FALSE),IFERROR(VLOOKUP(C59,Fichas!$A:$D,4,FALSE),0))))</f>
      </c>
      <c r="H59" s="10">
        <f>IF(OR(D59="",G59="",F59=0),"",D59*G59*(100/F59))</f>
      </c>
      <c r="I59" s="5"/>
    </row>
    <row r="60" spans="1:9" x14ac:dyDescent="0.25">
      <c r="A60" s="7"/>
      <c r="B60" s="8">
        <f>IF(C60="","",IF(ISNUMBER(MATCH(C60,Insumos!$A:$A,0)),"insumo",IF(ISNUMBER(MATCH(C60,Preparos!$A:$A,0)),"preparo",IF(ISNUMBER(MATCH(C60,Fichas!$A:$A,0)),"ficha",""))))</f>
      </c>
      <c r="C60" s="7"/>
      <c r="D60" s="7"/>
      <c r="E60" s="8">
        <f>IF(C60="","",IFERROR(VLOOKUP(C60,Insumos!$A:$I,9,FALSE),IFERROR(VLOOKUP(C60,Preparos!$A:$D,4,FALSE),IFERROR(IF(ISNUMBER(MATCH(C60,Fichas!$A:$A,0)),"un",""),""))))</f>
      </c>
      <c r="F60" s="8">
        <f>IF(C60="","",IFERROR(VLOOKUP(C60,Insumos!$A:$G,7,FALSE),100))</f>
      </c>
      <c r="G60" s="9">
        <f>IF(C60="","",IFERROR(VLOOKUP(C60,Insumos!$A:$J,10,FALSE),IFERROR(VLOOKUP(C60,Preparos!$A:$F,6,FALSE),IFERROR(VLOOKUP(C60,Fichas!$A:$D,4,FALSE),0))))</f>
      </c>
      <c r="H60" s="10">
        <f>IF(OR(D60="",G60="",F60=0),"",D60*G60*(100/F60))</f>
      </c>
      <c r="I60" s="5"/>
    </row>
    <row r="61" spans="1:9" x14ac:dyDescent="0.25">
      <c r="A61" s="7"/>
      <c r="B61" s="8">
        <f>IF(C61="","",IF(ISNUMBER(MATCH(C61,Insumos!$A:$A,0)),"insumo",IF(ISNUMBER(MATCH(C61,Preparos!$A:$A,0)),"preparo",IF(ISNUMBER(MATCH(C61,Fichas!$A:$A,0)),"ficha",""))))</f>
      </c>
      <c r="C61" s="7"/>
      <c r="D61" s="7"/>
      <c r="E61" s="8">
        <f>IF(C61="","",IFERROR(VLOOKUP(C61,Insumos!$A:$I,9,FALSE),IFERROR(VLOOKUP(C61,Preparos!$A:$D,4,FALSE),IFERROR(IF(ISNUMBER(MATCH(C61,Fichas!$A:$A,0)),"un",""),""))))</f>
      </c>
      <c r="F61" s="8">
        <f>IF(C61="","",IFERROR(VLOOKUP(C61,Insumos!$A:$G,7,FALSE),100))</f>
      </c>
      <c r="G61" s="9">
        <f>IF(C61="","",IFERROR(VLOOKUP(C61,Insumos!$A:$J,10,FALSE),IFERROR(VLOOKUP(C61,Preparos!$A:$F,6,FALSE),IFERROR(VLOOKUP(C61,Fichas!$A:$D,4,FALSE),0))))</f>
      </c>
      <c r="H61" s="10">
        <f>IF(OR(D61="",G61="",F61=0),"",D61*G61*(100/F61))</f>
      </c>
      <c r="I61" s="5"/>
    </row>
    <row r="62" spans="1:9" x14ac:dyDescent="0.25">
      <c r="A62" s="7"/>
      <c r="B62" s="8">
        <f>IF(C62="","",IF(ISNUMBER(MATCH(C62,Insumos!$A:$A,0)),"insumo",IF(ISNUMBER(MATCH(C62,Preparos!$A:$A,0)),"preparo",IF(ISNUMBER(MATCH(C62,Fichas!$A:$A,0)),"ficha",""))))</f>
      </c>
      <c r="C62" s="7"/>
      <c r="D62" s="7"/>
      <c r="E62" s="8">
        <f>IF(C62="","",IFERROR(VLOOKUP(C62,Insumos!$A:$I,9,FALSE),IFERROR(VLOOKUP(C62,Preparos!$A:$D,4,FALSE),IFERROR(IF(ISNUMBER(MATCH(C62,Fichas!$A:$A,0)),"un",""),""))))</f>
      </c>
      <c r="F62" s="8">
        <f>IF(C62="","",IFERROR(VLOOKUP(C62,Insumos!$A:$G,7,FALSE),100))</f>
      </c>
      <c r="G62" s="9">
        <f>IF(C62="","",IFERROR(VLOOKUP(C62,Insumos!$A:$J,10,FALSE),IFERROR(VLOOKUP(C62,Preparos!$A:$F,6,FALSE),IFERROR(VLOOKUP(C62,Fichas!$A:$D,4,FALSE),0))))</f>
      </c>
      <c r="H62" s="10">
        <f>IF(OR(D62="",G62="",F62=0),"",D62*G62*(100/F62))</f>
      </c>
      <c r="I62" s="5"/>
    </row>
    <row r="63" spans="1:9" x14ac:dyDescent="0.25">
      <c r="A63" s="7"/>
      <c r="B63" s="8">
        <f>IF(C63="","",IF(ISNUMBER(MATCH(C63,Insumos!$A:$A,0)),"insumo",IF(ISNUMBER(MATCH(C63,Preparos!$A:$A,0)),"preparo",IF(ISNUMBER(MATCH(C63,Fichas!$A:$A,0)),"ficha",""))))</f>
      </c>
      <c r="C63" s="7"/>
      <c r="D63" s="7"/>
      <c r="E63" s="8">
        <f>IF(C63="","",IFERROR(VLOOKUP(C63,Insumos!$A:$I,9,FALSE),IFERROR(VLOOKUP(C63,Preparos!$A:$D,4,FALSE),IFERROR(IF(ISNUMBER(MATCH(C63,Fichas!$A:$A,0)),"un",""),""))))</f>
      </c>
      <c r="F63" s="8">
        <f>IF(C63="","",IFERROR(VLOOKUP(C63,Insumos!$A:$G,7,FALSE),100))</f>
      </c>
      <c r="G63" s="9">
        <f>IF(C63="","",IFERROR(VLOOKUP(C63,Insumos!$A:$J,10,FALSE),IFERROR(VLOOKUP(C63,Preparos!$A:$F,6,FALSE),IFERROR(VLOOKUP(C63,Fichas!$A:$D,4,FALSE),0))))</f>
      </c>
      <c r="H63" s="10">
        <f>IF(OR(D63="",G63="",F63=0),"",D63*G63*(100/F63))</f>
      </c>
      <c r="I63" s="5"/>
    </row>
    <row r="64" spans="1:9" x14ac:dyDescent="0.25">
      <c r="A64" s="7"/>
      <c r="B64" s="8">
        <f>IF(C64="","",IF(ISNUMBER(MATCH(C64,Insumos!$A:$A,0)),"insumo",IF(ISNUMBER(MATCH(C64,Preparos!$A:$A,0)),"preparo",IF(ISNUMBER(MATCH(C64,Fichas!$A:$A,0)),"ficha",""))))</f>
      </c>
      <c r="C64" s="7"/>
      <c r="D64" s="7"/>
      <c r="E64" s="8">
        <f>IF(C64="","",IFERROR(VLOOKUP(C64,Insumos!$A:$I,9,FALSE),IFERROR(VLOOKUP(C64,Preparos!$A:$D,4,FALSE),IFERROR(IF(ISNUMBER(MATCH(C64,Fichas!$A:$A,0)),"un",""),""))))</f>
      </c>
      <c r="F64" s="8">
        <f>IF(C64="","",IFERROR(VLOOKUP(C64,Insumos!$A:$G,7,FALSE),100))</f>
      </c>
      <c r="G64" s="9">
        <f>IF(C64="","",IFERROR(VLOOKUP(C64,Insumos!$A:$J,10,FALSE),IFERROR(VLOOKUP(C64,Preparos!$A:$F,6,FALSE),IFERROR(VLOOKUP(C64,Fichas!$A:$D,4,FALSE),0))))</f>
      </c>
      <c r="H64" s="10">
        <f>IF(OR(D64="",G64="",F64=0),"",D64*G64*(100/F64))</f>
      </c>
      <c r="I64" s="5"/>
    </row>
    <row r="65" spans="1:9" x14ac:dyDescent="0.25">
      <c r="A65" s="7"/>
      <c r="B65" s="8">
        <f>IF(C65="","",IF(ISNUMBER(MATCH(C65,Insumos!$A:$A,0)),"insumo",IF(ISNUMBER(MATCH(C65,Preparos!$A:$A,0)),"preparo",IF(ISNUMBER(MATCH(C65,Fichas!$A:$A,0)),"ficha",""))))</f>
      </c>
      <c r="C65" s="7"/>
      <c r="D65" s="7"/>
      <c r="E65" s="8">
        <f>IF(C65="","",IFERROR(VLOOKUP(C65,Insumos!$A:$I,9,FALSE),IFERROR(VLOOKUP(C65,Preparos!$A:$D,4,FALSE),IFERROR(IF(ISNUMBER(MATCH(C65,Fichas!$A:$A,0)),"un",""),""))))</f>
      </c>
      <c r="F65" s="8">
        <f>IF(C65="","",IFERROR(VLOOKUP(C65,Insumos!$A:$G,7,FALSE),100))</f>
      </c>
      <c r="G65" s="9">
        <f>IF(C65="","",IFERROR(VLOOKUP(C65,Insumos!$A:$J,10,FALSE),IFERROR(VLOOKUP(C65,Preparos!$A:$F,6,FALSE),IFERROR(VLOOKUP(C65,Fichas!$A:$D,4,FALSE),0))))</f>
      </c>
      <c r="H65" s="10">
        <f>IF(OR(D65="",G65="",F65=0),"",D65*G65*(100/F65))</f>
      </c>
      <c r="I65" s="5"/>
    </row>
    <row r="66" spans="1:9" x14ac:dyDescent="0.25">
      <c r="A66" s="7"/>
      <c r="B66" s="8">
        <f>IF(C66="","",IF(ISNUMBER(MATCH(C66,Insumos!$A:$A,0)),"insumo",IF(ISNUMBER(MATCH(C66,Preparos!$A:$A,0)),"preparo",IF(ISNUMBER(MATCH(C66,Fichas!$A:$A,0)),"ficha",""))))</f>
      </c>
      <c r="C66" s="7"/>
      <c r="D66" s="7"/>
      <c r="E66" s="8">
        <f>IF(C66="","",IFERROR(VLOOKUP(C66,Insumos!$A:$I,9,FALSE),IFERROR(VLOOKUP(C66,Preparos!$A:$D,4,FALSE),IFERROR(IF(ISNUMBER(MATCH(C66,Fichas!$A:$A,0)),"un",""),""))))</f>
      </c>
      <c r="F66" s="8">
        <f>IF(C66="","",IFERROR(VLOOKUP(C66,Insumos!$A:$G,7,FALSE),100))</f>
      </c>
      <c r="G66" s="9">
        <f>IF(C66="","",IFERROR(VLOOKUP(C66,Insumos!$A:$J,10,FALSE),IFERROR(VLOOKUP(C66,Preparos!$A:$F,6,FALSE),IFERROR(VLOOKUP(C66,Fichas!$A:$D,4,FALSE),0))))</f>
      </c>
      <c r="H66" s="10">
        <f>IF(OR(D66="",G66="",F66=0),"",D66*G66*(100/F66))</f>
      </c>
      <c r="I66" s="5"/>
    </row>
    <row r="67" spans="1:9" x14ac:dyDescent="0.25">
      <c r="A67" s="7"/>
      <c r="B67" s="8">
        <f>IF(C67="","",IF(ISNUMBER(MATCH(C67,Insumos!$A:$A,0)),"insumo",IF(ISNUMBER(MATCH(C67,Preparos!$A:$A,0)),"preparo",IF(ISNUMBER(MATCH(C67,Fichas!$A:$A,0)),"ficha",""))))</f>
      </c>
      <c r="C67" s="7"/>
      <c r="D67" s="7"/>
      <c r="E67" s="8">
        <f>IF(C67="","",IFERROR(VLOOKUP(C67,Insumos!$A:$I,9,FALSE),IFERROR(VLOOKUP(C67,Preparos!$A:$D,4,FALSE),IFERROR(IF(ISNUMBER(MATCH(C67,Fichas!$A:$A,0)),"un",""),""))))</f>
      </c>
      <c r="F67" s="8">
        <f>IF(C67="","",IFERROR(VLOOKUP(C67,Insumos!$A:$G,7,FALSE),100))</f>
      </c>
      <c r="G67" s="9">
        <f>IF(C67="","",IFERROR(VLOOKUP(C67,Insumos!$A:$J,10,FALSE),IFERROR(VLOOKUP(C67,Preparos!$A:$F,6,FALSE),IFERROR(VLOOKUP(C67,Fichas!$A:$D,4,FALSE),0))))</f>
      </c>
      <c r="H67" s="10">
        <f>IF(OR(D67="",G67="",F67=0),"",D67*G67*(100/F67))</f>
      </c>
      <c r="I67" s="5"/>
    </row>
    <row r="68" spans="1:9" x14ac:dyDescent="0.25">
      <c r="A68" s="7"/>
      <c r="B68" s="8">
        <f>IF(C68="","",IF(ISNUMBER(MATCH(C68,Insumos!$A:$A,0)),"insumo",IF(ISNUMBER(MATCH(C68,Preparos!$A:$A,0)),"preparo",IF(ISNUMBER(MATCH(C68,Fichas!$A:$A,0)),"ficha",""))))</f>
      </c>
      <c r="C68" s="7"/>
      <c r="D68" s="7"/>
      <c r="E68" s="8">
        <f>IF(C68="","",IFERROR(VLOOKUP(C68,Insumos!$A:$I,9,FALSE),IFERROR(VLOOKUP(C68,Preparos!$A:$D,4,FALSE),IFERROR(IF(ISNUMBER(MATCH(C68,Fichas!$A:$A,0)),"un",""),""))))</f>
      </c>
      <c r="F68" s="8">
        <f>IF(C68="","",IFERROR(VLOOKUP(C68,Insumos!$A:$G,7,FALSE),100))</f>
      </c>
      <c r="G68" s="9">
        <f>IF(C68="","",IFERROR(VLOOKUP(C68,Insumos!$A:$J,10,FALSE),IFERROR(VLOOKUP(C68,Preparos!$A:$F,6,FALSE),IFERROR(VLOOKUP(C68,Fichas!$A:$D,4,FALSE),0))))</f>
      </c>
      <c r="H68" s="10">
        <f>IF(OR(D68="",G68="",F68=0),"",D68*G68*(100/F68))</f>
      </c>
      <c r="I68" s="5"/>
    </row>
    <row r="69" spans="1:9" x14ac:dyDescent="0.25">
      <c r="A69" s="7"/>
      <c r="B69" s="8">
        <f>IF(C69="","",IF(ISNUMBER(MATCH(C69,Insumos!$A:$A,0)),"insumo",IF(ISNUMBER(MATCH(C69,Preparos!$A:$A,0)),"preparo",IF(ISNUMBER(MATCH(C69,Fichas!$A:$A,0)),"ficha",""))))</f>
      </c>
      <c r="C69" s="7"/>
      <c r="D69" s="7"/>
      <c r="E69" s="8">
        <f>IF(C69="","",IFERROR(VLOOKUP(C69,Insumos!$A:$I,9,FALSE),IFERROR(VLOOKUP(C69,Preparos!$A:$D,4,FALSE),IFERROR(IF(ISNUMBER(MATCH(C69,Fichas!$A:$A,0)),"un",""),""))))</f>
      </c>
      <c r="F69" s="8">
        <f>IF(C69="","",IFERROR(VLOOKUP(C69,Insumos!$A:$G,7,FALSE),100))</f>
      </c>
      <c r="G69" s="9">
        <f>IF(C69="","",IFERROR(VLOOKUP(C69,Insumos!$A:$J,10,FALSE),IFERROR(VLOOKUP(C69,Preparos!$A:$F,6,FALSE),IFERROR(VLOOKUP(C69,Fichas!$A:$D,4,FALSE),0))))</f>
      </c>
      <c r="H69" s="10">
        <f>IF(OR(D69="",G69="",F69=0),"",D69*G69*(100/F69))</f>
      </c>
      <c r="I69" s="5"/>
    </row>
    <row r="70" spans="1:9" x14ac:dyDescent="0.25">
      <c r="A70" s="7"/>
      <c r="B70" s="8">
        <f>IF(C70="","",IF(ISNUMBER(MATCH(C70,Insumos!$A:$A,0)),"insumo",IF(ISNUMBER(MATCH(C70,Preparos!$A:$A,0)),"preparo",IF(ISNUMBER(MATCH(C70,Fichas!$A:$A,0)),"ficha",""))))</f>
      </c>
      <c r="C70" s="7"/>
      <c r="D70" s="7"/>
      <c r="E70" s="8">
        <f>IF(C70="","",IFERROR(VLOOKUP(C70,Insumos!$A:$I,9,FALSE),IFERROR(VLOOKUP(C70,Preparos!$A:$D,4,FALSE),IFERROR(IF(ISNUMBER(MATCH(C70,Fichas!$A:$A,0)),"un",""),""))))</f>
      </c>
      <c r="F70" s="8">
        <f>IF(C70="","",IFERROR(VLOOKUP(C70,Insumos!$A:$G,7,FALSE),100))</f>
      </c>
      <c r="G70" s="9">
        <f>IF(C70="","",IFERROR(VLOOKUP(C70,Insumos!$A:$J,10,FALSE),IFERROR(VLOOKUP(C70,Preparos!$A:$F,6,FALSE),IFERROR(VLOOKUP(C70,Fichas!$A:$D,4,FALSE),0))))</f>
      </c>
      <c r="H70" s="10">
        <f>IF(OR(D70="",G70="",F70=0),"",D70*G70*(100/F70))</f>
      </c>
      <c r="I70" s="5"/>
    </row>
    <row r="71" spans="1:9" x14ac:dyDescent="0.25">
      <c r="A71" s="7"/>
      <c r="B71" s="8">
        <f>IF(C71="","",IF(ISNUMBER(MATCH(C71,Insumos!$A:$A,0)),"insumo",IF(ISNUMBER(MATCH(C71,Preparos!$A:$A,0)),"preparo",IF(ISNUMBER(MATCH(C71,Fichas!$A:$A,0)),"ficha",""))))</f>
      </c>
      <c r="C71" s="7"/>
      <c r="D71" s="7"/>
      <c r="E71" s="8">
        <f>IF(C71="","",IFERROR(VLOOKUP(C71,Insumos!$A:$I,9,FALSE),IFERROR(VLOOKUP(C71,Preparos!$A:$D,4,FALSE),IFERROR(IF(ISNUMBER(MATCH(C71,Fichas!$A:$A,0)),"un",""),""))))</f>
      </c>
      <c r="F71" s="8">
        <f>IF(C71="","",IFERROR(VLOOKUP(C71,Insumos!$A:$G,7,FALSE),100))</f>
      </c>
      <c r="G71" s="9">
        <f>IF(C71="","",IFERROR(VLOOKUP(C71,Insumos!$A:$J,10,FALSE),IFERROR(VLOOKUP(C71,Preparos!$A:$F,6,FALSE),IFERROR(VLOOKUP(C71,Fichas!$A:$D,4,FALSE),0))))</f>
      </c>
      <c r="H71" s="10">
        <f>IF(OR(D71="",G71="",F71=0),"",D71*G71*(100/F71))</f>
      </c>
      <c r="I71" s="5"/>
    </row>
    <row r="72" spans="1:9" x14ac:dyDescent="0.25">
      <c r="A72" s="7"/>
      <c r="B72" s="8">
        <f>IF(C72="","",IF(ISNUMBER(MATCH(C72,Insumos!$A:$A,0)),"insumo",IF(ISNUMBER(MATCH(C72,Preparos!$A:$A,0)),"preparo",IF(ISNUMBER(MATCH(C72,Fichas!$A:$A,0)),"ficha",""))))</f>
      </c>
      <c r="C72" s="7"/>
      <c r="D72" s="7"/>
      <c r="E72" s="8">
        <f>IF(C72="","",IFERROR(VLOOKUP(C72,Insumos!$A:$I,9,FALSE),IFERROR(VLOOKUP(C72,Preparos!$A:$D,4,FALSE),IFERROR(IF(ISNUMBER(MATCH(C72,Fichas!$A:$A,0)),"un",""),""))))</f>
      </c>
      <c r="F72" s="8">
        <f>IF(C72="","",IFERROR(VLOOKUP(C72,Insumos!$A:$G,7,FALSE),100))</f>
      </c>
      <c r="G72" s="9">
        <f>IF(C72="","",IFERROR(VLOOKUP(C72,Insumos!$A:$J,10,FALSE),IFERROR(VLOOKUP(C72,Preparos!$A:$F,6,FALSE),IFERROR(VLOOKUP(C72,Fichas!$A:$D,4,FALSE),0))))</f>
      </c>
      <c r="H72" s="10">
        <f>IF(OR(D72="",G72="",F72=0),"",D72*G72*(100/F72))</f>
      </c>
      <c r="I72" s="5"/>
    </row>
    <row r="73" spans="1:9" x14ac:dyDescent="0.25">
      <c r="A73" s="7"/>
      <c r="B73" s="8">
        <f>IF(C73="","",IF(ISNUMBER(MATCH(C73,Insumos!$A:$A,0)),"insumo",IF(ISNUMBER(MATCH(C73,Preparos!$A:$A,0)),"preparo",IF(ISNUMBER(MATCH(C73,Fichas!$A:$A,0)),"ficha",""))))</f>
      </c>
      <c r="C73" s="7"/>
      <c r="D73" s="7"/>
      <c r="E73" s="8">
        <f>IF(C73="","",IFERROR(VLOOKUP(C73,Insumos!$A:$I,9,FALSE),IFERROR(VLOOKUP(C73,Preparos!$A:$D,4,FALSE),IFERROR(IF(ISNUMBER(MATCH(C73,Fichas!$A:$A,0)),"un",""),""))))</f>
      </c>
      <c r="F73" s="8">
        <f>IF(C73="","",IFERROR(VLOOKUP(C73,Insumos!$A:$G,7,FALSE),100))</f>
      </c>
      <c r="G73" s="9">
        <f>IF(C73="","",IFERROR(VLOOKUP(C73,Insumos!$A:$J,10,FALSE),IFERROR(VLOOKUP(C73,Preparos!$A:$F,6,FALSE),IFERROR(VLOOKUP(C73,Fichas!$A:$D,4,FALSE),0))))</f>
      </c>
      <c r="H73" s="10">
        <f>IF(OR(D73="",G73="",F73=0),"",D73*G73*(100/F73))</f>
      </c>
      <c r="I73" s="5"/>
    </row>
    <row r="74" spans="1:9" x14ac:dyDescent="0.25">
      <c r="A74" s="7"/>
      <c r="B74" s="8">
        <f>IF(C74="","",IF(ISNUMBER(MATCH(C74,Insumos!$A:$A,0)),"insumo",IF(ISNUMBER(MATCH(C74,Preparos!$A:$A,0)),"preparo",IF(ISNUMBER(MATCH(C74,Fichas!$A:$A,0)),"ficha",""))))</f>
      </c>
      <c r="C74" s="7"/>
      <c r="D74" s="7"/>
      <c r="E74" s="8">
        <f>IF(C74="","",IFERROR(VLOOKUP(C74,Insumos!$A:$I,9,FALSE),IFERROR(VLOOKUP(C74,Preparos!$A:$D,4,FALSE),IFERROR(IF(ISNUMBER(MATCH(C74,Fichas!$A:$A,0)),"un",""),""))))</f>
      </c>
      <c r="F74" s="8">
        <f>IF(C74="","",IFERROR(VLOOKUP(C74,Insumos!$A:$G,7,FALSE),100))</f>
      </c>
      <c r="G74" s="9">
        <f>IF(C74="","",IFERROR(VLOOKUP(C74,Insumos!$A:$J,10,FALSE),IFERROR(VLOOKUP(C74,Preparos!$A:$F,6,FALSE),IFERROR(VLOOKUP(C74,Fichas!$A:$D,4,FALSE),0))))</f>
      </c>
      <c r="H74" s="10">
        <f>IF(OR(D74="",G74="",F74=0),"",D74*G74*(100/F74))</f>
      </c>
      <c r="I74" s="5"/>
    </row>
    <row r="75" spans="1:9" x14ac:dyDescent="0.25">
      <c r="A75" s="7"/>
      <c r="B75" s="8">
        <f>IF(C75="","",IF(ISNUMBER(MATCH(C75,Insumos!$A:$A,0)),"insumo",IF(ISNUMBER(MATCH(C75,Preparos!$A:$A,0)),"preparo",IF(ISNUMBER(MATCH(C75,Fichas!$A:$A,0)),"ficha",""))))</f>
      </c>
      <c r="C75" s="7"/>
      <c r="D75" s="7"/>
      <c r="E75" s="8">
        <f>IF(C75="","",IFERROR(VLOOKUP(C75,Insumos!$A:$I,9,FALSE),IFERROR(VLOOKUP(C75,Preparos!$A:$D,4,FALSE),IFERROR(IF(ISNUMBER(MATCH(C75,Fichas!$A:$A,0)),"un",""),""))))</f>
      </c>
      <c r="F75" s="8">
        <f>IF(C75="","",IFERROR(VLOOKUP(C75,Insumos!$A:$G,7,FALSE),100))</f>
      </c>
      <c r="G75" s="9">
        <f>IF(C75="","",IFERROR(VLOOKUP(C75,Insumos!$A:$J,10,FALSE),IFERROR(VLOOKUP(C75,Preparos!$A:$F,6,FALSE),IFERROR(VLOOKUP(C75,Fichas!$A:$D,4,FALSE),0))))</f>
      </c>
      <c r="H75" s="10">
        <f>IF(OR(D75="",G75="",F75=0),"",D75*G75*(100/F75))</f>
      </c>
      <c r="I75" s="5"/>
    </row>
    <row r="76" spans="1:9" x14ac:dyDescent="0.25">
      <c r="A76" s="7"/>
      <c r="B76" s="8">
        <f>IF(C76="","",IF(ISNUMBER(MATCH(C76,Insumos!$A:$A,0)),"insumo",IF(ISNUMBER(MATCH(C76,Preparos!$A:$A,0)),"preparo",IF(ISNUMBER(MATCH(C76,Fichas!$A:$A,0)),"ficha",""))))</f>
      </c>
      <c r="C76" s="7"/>
      <c r="D76" s="7"/>
      <c r="E76" s="8">
        <f>IF(C76="","",IFERROR(VLOOKUP(C76,Insumos!$A:$I,9,FALSE),IFERROR(VLOOKUP(C76,Preparos!$A:$D,4,FALSE),IFERROR(IF(ISNUMBER(MATCH(C76,Fichas!$A:$A,0)),"un",""),""))))</f>
      </c>
      <c r="F76" s="8">
        <f>IF(C76="","",IFERROR(VLOOKUP(C76,Insumos!$A:$G,7,FALSE),100))</f>
      </c>
      <c r="G76" s="9">
        <f>IF(C76="","",IFERROR(VLOOKUP(C76,Insumos!$A:$J,10,FALSE),IFERROR(VLOOKUP(C76,Preparos!$A:$F,6,FALSE),IFERROR(VLOOKUP(C76,Fichas!$A:$D,4,FALSE),0))))</f>
      </c>
      <c r="H76" s="10">
        <f>IF(OR(D76="",G76="",F76=0),"",D76*G76*(100/F76))</f>
      </c>
      <c r="I76" s="5"/>
    </row>
    <row r="77" spans="1:9" x14ac:dyDescent="0.25">
      <c r="A77" s="7"/>
      <c r="B77" s="8">
        <f>IF(C77="","",IF(ISNUMBER(MATCH(C77,Insumos!$A:$A,0)),"insumo",IF(ISNUMBER(MATCH(C77,Preparos!$A:$A,0)),"preparo",IF(ISNUMBER(MATCH(C77,Fichas!$A:$A,0)),"ficha",""))))</f>
      </c>
      <c r="C77" s="7"/>
      <c r="D77" s="7"/>
      <c r="E77" s="8">
        <f>IF(C77="","",IFERROR(VLOOKUP(C77,Insumos!$A:$I,9,FALSE),IFERROR(VLOOKUP(C77,Preparos!$A:$D,4,FALSE),IFERROR(IF(ISNUMBER(MATCH(C77,Fichas!$A:$A,0)),"un",""),""))))</f>
      </c>
      <c r="F77" s="8">
        <f>IF(C77="","",IFERROR(VLOOKUP(C77,Insumos!$A:$G,7,FALSE),100))</f>
      </c>
      <c r="G77" s="9">
        <f>IF(C77="","",IFERROR(VLOOKUP(C77,Insumos!$A:$J,10,FALSE),IFERROR(VLOOKUP(C77,Preparos!$A:$F,6,FALSE),IFERROR(VLOOKUP(C77,Fichas!$A:$D,4,FALSE),0))))</f>
      </c>
      <c r="H77" s="10">
        <f>IF(OR(D77="",G77="",F77=0),"",D77*G77*(100/F77))</f>
      </c>
      <c r="I77" s="5"/>
    </row>
    <row r="78" spans="1:9" x14ac:dyDescent="0.25">
      <c r="A78" s="7"/>
      <c r="B78" s="8">
        <f>IF(C78="","",IF(ISNUMBER(MATCH(C78,Insumos!$A:$A,0)),"insumo",IF(ISNUMBER(MATCH(C78,Preparos!$A:$A,0)),"preparo",IF(ISNUMBER(MATCH(C78,Fichas!$A:$A,0)),"ficha",""))))</f>
      </c>
      <c r="C78" s="7"/>
      <c r="D78" s="7"/>
      <c r="E78" s="8">
        <f>IF(C78="","",IFERROR(VLOOKUP(C78,Insumos!$A:$I,9,FALSE),IFERROR(VLOOKUP(C78,Preparos!$A:$D,4,FALSE),IFERROR(IF(ISNUMBER(MATCH(C78,Fichas!$A:$A,0)),"un",""),""))))</f>
      </c>
      <c r="F78" s="8">
        <f>IF(C78="","",IFERROR(VLOOKUP(C78,Insumos!$A:$G,7,FALSE),100))</f>
      </c>
      <c r="G78" s="9">
        <f>IF(C78="","",IFERROR(VLOOKUP(C78,Insumos!$A:$J,10,FALSE),IFERROR(VLOOKUP(C78,Preparos!$A:$F,6,FALSE),IFERROR(VLOOKUP(C78,Fichas!$A:$D,4,FALSE),0))))</f>
      </c>
      <c r="H78" s="10">
        <f>IF(OR(D78="",G78="",F78=0),"",D78*G78*(100/F78))</f>
      </c>
      <c r="I78" s="5"/>
    </row>
    <row r="79" spans="1:9" x14ac:dyDescent="0.25">
      <c r="A79" s="7"/>
      <c r="B79" s="8">
        <f>IF(C79="","",IF(ISNUMBER(MATCH(C79,Insumos!$A:$A,0)),"insumo",IF(ISNUMBER(MATCH(C79,Preparos!$A:$A,0)),"preparo",IF(ISNUMBER(MATCH(C79,Fichas!$A:$A,0)),"ficha",""))))</f>
      </c>
      <c r="C79" s="7"/>
      <c r="D79" s="7"/>
      <c r="E79" s="8">
        <f>IF(C79="","",IFERROR(VLOOKUP(C79,Insumos!$A:$I,9,FALSE),IFERROR(VLOOKUP(C79,Preparos!$A:$D,4,FALSE),IFERROR(IF(ISNUMBER(MATCH(C79,Fichas!$A:$A,0)),"un",""),""))))</f>
      </c>
      <c r="F79" s="8">
        <f>IF(C79="","",IFERROR(VLOOKUP(C79,Insumos!$A:$G,7,FALSE),100))</f>
      </c>
      <c r="G79" s="9">
        <f>IF(C79="","",IFERROR(VLOOKUP(C79,Insumos!$A:$J,10,FALSE),IFERROR(VLOOKUP(C79,Preparos!$A:$F,6,FALSE),IFERROR(VLOOKUP(C79,Fichas!$A:$D,4,FALSE),0))))</f>
      </c>
      <c r="H79" s="10">
        <f>IF(OR(D79="",G79="",F79=0),"",D79*G79*(100/F79))</f>
      </c>
      <c r="I79" s="5"/>
    </row>
    <row r="80" spans="1:9" x14ac:dyDescent="0.25">
      <c r="A80" s="7"/>
      <c r="B80" s="8">
        <f>IF(C80="","",IF(ISNUMBER(MATCH(C80,Insumos!$A:$A,0)),"insumo",IF(ISNUMBER(MATCH(C80,Preparos!$A:$A,0)),"preparo",IF(ISNUMBER(MATCH(C80,Fichas!$A:$A,0)),"ficha",""))))</f>
      </c>
      <c r="C80" s="7"/>
      <c r="D80" s="7"/>
      <c r="E80" s="8">
        <f>IF(C80="","",IFERROR(VLOOKUP(C80,Insumos!$A:$I,9,FALSE),IFERROR(VLOOKUP(C80,Preparos!$A:$D,4,FALSE),IFERROR(IF(ISNUMBER(MATCH(C80,Fichas!$A:$A,0)),"un",""),""))))</f>
      </c>
      <c r="F80" s="8">
        <f>IF(C80="","",IFERROR(VLOOKUP(C80,Insumos!$A:$G,7,FALSE),100))</f>
      </c>
      <c r="G80" s="9">
        <f>IF(C80="","",IFERROR(VLOOKUP(C80,Insumos!$A:$J,10,FALSE),IFERROR(VLOOKUP(C80,Preparos!$A:$F,6,FALSE),IFERROR(VLOOKUP(C80,Fichas!$A:$D,4,FALSE),0))))</f>
      </c>
      <c r="H80" s="10">
        <f>IF(OR(D80="",G80="",F80=0),"",D80*G80*(100/F80))</f>
      </c>
      <c r="I80" s="5"/>
    </row>
    <row r="81" spans="1:9" x14ac:dyDescent="0.25">
      <c r="A81" s="7"/>
      <c r="B81" s="8">
        <f>IF(C81="","",IF(ISNUMBER(MATCH(C81,Insumos!$A:$A,0)),"insumo",IF(ISNUMBER(MATCH(C81,Preparos!$A:$A,0)),"preparo",IF(ISNUMBER(MATCH(C81,Fichas!$A:$A,0)),"ficha",""))))</f>
      </c>
      <c r="C81" s="7"/>
      <c r="D81" s="7"/>
      <c r="E81" s="8">
        <f>IF(C81="","",IFERROR(VLOOKUP(C81,Insumos!$A:$I,9,FALSE),IFERROR(VLOOKUP(C81,Preparos!$A:$D,4,FALSE),IFERROR(IF(ISNUMBER(MATCH(C81,Fichas!$A:$A,0)),"un",""),""))))</f>
      </c>
      <c r="F81" s="8">
        <f>IF(C81="","",IFERROR(VLOOKUP(C81,Insumos!$A:$G,7,FALSE),100))</f>
      </c>
      <c r="G81" s="9">
        <f>IF(C81="","",IFERROR(VLOOKUP(C81,Insumos!$A:$J,10,FALSE),IFERROR(VLOOKUP(C81,Preparos!$A:$F,6,FALSE),IFERROR(VLOOKUP(C81,Fichas!$A:$D,4,FALSE),0))))</f>
      </c>
      <c r="H81" s="10">
        <f>IF(OR(D81="",G81="",F81=0),"",D81*G81*(100/F81))</f>
      </c>
      <c r="I81" s="5"/>
    </row>
    <row r="82" spans="1:9" x14ac:dyDescent="0.25">
      <c r="A82" s="7"/>
      <c r="B82" s="8">
        <f>IF(C82="","",IF(ISNUMBER(MATCH(C82,Insumos!$A:$A,0)),"insumo",IF(ISNUMBER(MATCH(C82,Preparos!$A:$A,0)),"preparo",IF(ISNUMBER(MATCH(C82,Fichas!$A:$A,0)),"ficha",""))))</f>
      </c>
      <c r="C82" s="7"/>
      <c r="D82" s="7"/>
      <c r="E82" s="8">
        <f>IF(C82="","",IFERROR(VLOOKUP(C82,Insumos!$A:$I,9,FALSE),IFERROR(VLOOKUP(C82,Preparos!$A:$D,4,FALSE),IFERROR(IF(ISNUMBER(MATCH(C82,Fichas!$A:$A,0)),"un",""),""))))</f>
      </c>
      <c r="F82" s="8">
        <f>IF(C82="","",IFERROR(VLOOKUP(C82,Insumos!$A:$G,7,FALSE),100))</f>
      </c>
      <c r="G82" s="9">
        <f>IF(C82="","",IFERROR(VLOOKUP(C82,Insumos!$A:$J,10,FALSE),IFERROR(VLOOKUP(C82,Preparos!$A:$F,6,FALSE),IFERROR(VLOOKUP(C82,Fichas!$A:$D,4,FALSE),0))))</f>
      </c>
      <c r="H82" s="10">
        <f>IF(OR(D82="",G82="",F82=0),"",D82*G82*(100/F82))</f>
      </c>
      <c r="I82" s="5"/>
    </row>
    <row r="83" spans="1:9" x14ac:dyDescent="0.25">
      <c r="A83" s="7"/>
      <c r="B83" s="8">
        <f>IF(C83="","",IF(ISNUMBER(MATCH(C83,Insumos!$A:$A,0)),"insumo",IF(ISNUMBER(MATCH(C83,Preparos!$A:$A,0)),"preparo",IF(ISNUMBER(MATCH(C83,Fichas!$A:$A,0)),"ficha",""))))</f>
      </c>
      <c r="C83" s="7"/>
      <c r="D83" s="7"/>
      <c r="E83" s="8">
        <f>IF(C83="","",IFERROR(VLOOKUP(C83,Insumos!$A:$I,9,FALSE),IFERROR(VLOOKUP(C83,Preparos!$A:$D,4,FALSE),IFERROR(IF(ISNUMBER(MATCH(C83,Fichas!$A:$A,0)),"un",""),""))))</f>
      </c>
      <c r="F83" s="8">
        <f>IF(C83="","",IFERROR(VLOOKUP(C83,Insumos!$A:$G,7,FALSE),100))</f>
      </c>
      <c r="G83" s="9">
        <f>IF(C83="","",IFERROR(VLOOKUP(C83,Insumos!$A:$J,10,FALSE),IFERROR(VLOOKUP(C83,Preparos!$A:$F,6,FALSE),IFERROR(VLOOKUP(C83,Fichas!$A:$D,4,FALSE),0))))</f>
      </c>
      <c r="H83" s="10">
        <f>IF(OR(D83="",G83="",F83=0),"",D83*G83*(100/F83))</f>
      </c>
      <c r="I83" s="5"/>
    </row>
    <row r="84" spans="1:9" x14ac:dyDescent="0.25">
      <c r="A84" s="7"/>
      <c r="B84" s="8">
        <f>IF(C84="","",IF(ISNUMBER(MATCH(C84,Insumos!$A:$A,0)),"insumo",IF(ISNUMBER(MATCH(C84,Preparos!$A:$A,0)),"preparo",IF(ISNUMBER(MATCH(C84,Fichas!$A:$A,0)),"ficha",""))))</f>
      </c>
      <c r="C84" s="7"/>
      <c r="D84" s="7"/>
      <c r="E84" s="8">
        <f>IF(C84="","",IFERROR(VLOOKUP(C84,Insumos!$A:$I,9,FALSE),IFERROR(VLOOKUP(C84,Preparos!$A:$D,4,FALSE),IFERROR(IF(ISNUMBER(MATCH(C84,Fichas!$A:$A,0)),"un",""),""))))</f>
      </c>
      <c r="F84" s="8">
        <f>IF(C84="","",IFERROR(VLOOKUP(C84,Insumos!$A:$G,7,FALSE),100))</f>
      </c>
      <c r="G84" s="9">
        <f>IF(C84="","",IFERROR(VLOOKUP(C84,Insumos!$A:$J,10,FALSE),IFERROR(VLOOKUP(C84,Preparos!$A:$F,6,FALSE),IFERROR(VLOOKUP(C84,Fichas!$A:$D,4,FALSE),0))))</f>
      </c>
      <c r="H84" s="10">
        <f>IF(OR(D84="",G84="",F84=0),"",D84*G84*(100/F84))</f>
      </c>
      <c r="I84" s="5"/>
    </row>
    <row r="85" spans="1:9" x14ac:dyDescent="0.25">
      <c r="A85" s="7"/>
      <c r="B85" s="8">
        <f>IF(C85="","",IF(ISNUMBER(MATCH(C85,Insumos!$A:$A,0)),"insumo",IF(ISNUMBER(MATCH(C85,Preparos!$A:$A,0)),"preparo",IF(ISNUMBER(MATCH(C85,Fichas!$A:$A,0)),"ficha",""))))</f>
      </c>
      <c r="C85" s="7"/>
      <c r="D85" s="7"/>
      <c r="E85" s="8">
        <f>IF(C85="","",IFERROR(VLOOKUP(C85,Insumos!$A:$I,9,FALSE),IFERROR(VLOOKUP(C85,Preparos!$A:$D,4,FALSE),IFERROR(IF(ISNUMBER(MATCH(C85,Fichas!$A:$A,0)),"un",""),""))))</f>
      </c>
      <c r="F85" s="8">
        <f>IF(C85="","",IFERROR(VLOOKUP(C85,Insumos!$A:$G,7,FALSE),100))</f>
      </c>
      <c r="G85" s="9">
        <f>IF(C85="","",IFERROR(VLOOKUP(C85,Insumos!$A:$J,10,FALSE),IFERROR(VLOOKUP(C85,Preparos!$A:$F,6,FALSE),IFERROR(VLOOKUP(C85,Fichas!$A:$D,4,FALSE),0))))</f>
      </c>
      <c r="H85" s="10">
        <f>IF(OR(D85="",G85="",F85=0),"",D85*G85*(100/F85))</f>
      </c>
      <c r="I85" s="5"/>
    </row>
    <row r="86" spans="1:9" x14ac:dyDescent="0.25">
      <c r="A86" s="7"/>
      <c r="B86" s="8">
        <f>IF(C86="","",IF(ISNUMBER(MATCH(C86,Insumos!$A:$A,0)),"insumo",IF(ISNUMBER(MATCH(C86,Preparos!$A:$A,0)),"preparo",IF(ISNUMBER(MATCH(C86,Fichas!$A:$A,0)),"ficha",""))))</f>
      </c>
      <c r="C86" s="7"/>
      <c r="D86" s="7"/>
      <c r="E86" s="8">
        <f>IF(C86="","",IFERROR(VLOOKUP(C86,Insumos!$A:$I,9,FALSE),IFERROR(VLOOKUP(C86,Preparos!$A:$D,4,FALSE),IFERROR(IF(ISNUMBER(MATCH(C86,Fichas!$A:$A,0)),"un",""),""))))</f>
      </c>
      <c r="F86" s="8">
        <f>IF(C86="","",IFERROR(VLOOKUP(C86,Insumos!$A:$G,7,FALSE),100))</f>
      </c>
      <c r="G86" s="9">
        <f>IF(C86="","",IFERROR(VLOOKUP(C86,Insumos!$A:$J,10,FALSE),IFERROR(VLOOKUP(C86,Preparos!$A:$F,6,FALSE),IFERROR(VLOOKUP(C86,Fichas!$A:$D,4,FALSE),0))))</f>
      </c>
      <c r="H86" s="10">
        <f>IF(OR(D86="",G86="",F86=0),"",D86*G86*(100/F86))</f>
      </c>
      <c r="I86" s="5"/>
    </row>
    <row r="87" spans="1:9" x14ac:dyDescent="0.25">
      <c r="A87" s="7"/>
      <c r="B87" s="8">
        <f>IF(C87="","",IF(ISNUMBER(MATCH(C87,Insumos!$A:$A,0)),"insumo",IF(ISNUMBER(MATCH(C87,Preparos!$A:$A,0)),"preparo",IF(ISNUMBER(MATCH(C87,Fichas!$A:$A,0)),"ficha",""))))</f>
      </c>
      <c r="C87" s="7"/>
      <c r="D87" s="7"/>
      <c r="E87" s="8">
        <f>IF(C87="","",IFERROR(VLOOKUP(C87,Insumos!$A:$I,9,FALSE),IFERROR(VLOOKUP(C87,Preparos!$A:$D,4,FALSE),IFERROR(IF(ISNUMBER(MATCH(C87,Fichas!$A:$A,0)),"un",""),""))))</f>
      </c>
      <c r="F87" s="8">
        <f>IF(C87="","",IFERROR(VLOOKUP(C87,Insumos!$A:$G,7,FALSE),100))</f>
      </c>
      <c r="G87" s="9">
        <f>IF(C87="","",IFERROR(VLOOKUP(C87,Insumos!$A:$J,10,FALSE),IFERROR(VLOOKUP(C87,Preparos!$A:$F,6,FALSE),IFERROR(VLOOKUP(C87,Fichas!$A:$D,4,FALSE),0))))</f>
      </c>
      <c r="H87" s="10">
        <f>IF(OR(D87="",G87="",F87=0),"",D87*G87*(100/F87))</f>
      </c>
      <c r="I87" s="5"/>
    </row>
    <row r="88" spans="1:9" x14ac:dyDescent="0.25">
      <c r="A88" s="7"/>
      <c r="B88" s="8">
        <f>IF(C88="","",IF(ISNUMBER(MATCH(C88,Insumos!$A:$A,0)),"insumo",IF(ISNUMBER(MATCH(C88,Preparos!$A:$A,0)),"preparo",IF(ISNUMBER(MATCH(C88,Fichas!$A:$A,0)),"ficha",""))))</f>
      </c>
      <c r="C88" s="7"/>
      <c r="D88" s="7"/>
      <c r="E88" s="8">
        <f>IF(C88="","",IFERROR(VLOOKUP(C88,Insumos!$A:$I,9,FALSE),IFERROR(VLOOKUP(C88,Preparos!$A:$D,4,FALSE),IFERROR(IF(ISNUMBER(MATCH(C88,Fichas!$A:$A,0)),"un",""),""))))</f>
      </c>
      <c r="F88" s="8">
        <f>IF(C88="","",IFERROR(VLOOKUP(C88,Insumos!$A:$G,7,FALSE),100))</f>
      </c>
      <c r="G88" s="9">
        <f>IF(C88="","",IFERROR(VLOOKUP(C88,Insumos!$A:$J,10,FALSE),IFERROR(VLOOKUP(C88,Preparos!$A:$F,6,FALSE),IFERROR(VLOOKUP(C88,Fichas!$A:$D,4,FALSE),0))))</f>
      </c>
      <c r="H88" s="10">
        <f>IF(OR(D88="",G88="",F88=0),"",D88*G88*(100/F88))</f>
      </c>
      <c r="I88" s="5"/>
    </row>
    <row r="89" spans="1:9" x14ac:dyDescent="0.25">
      <c r="A89" s="7"/>
      <c r="B89" s="8">
        <f>IF(C89="","",IF(ISNUMBER(MATCH(C89,Insumos!$A:$A,0)),"insumo",IF(ISNUMBER(MATCH(C89,Preparos!$A:$A,0)),"preparo",IF(ISNUMBER(MATCH(C89,Fichas!$A:$A,0)),"ficha",""))))</f>
      </c>
      <c r="C89" s="7"/>
      <c r="D89" s="7"/>
      <c r="E89" s="8">
        <f>IF(C89="","",IFERROR(VLOOKUP(C89,Insumos!$A:$I,9,FALSE),IFERROR(VLOOKUP(C89,Preparos!$A:$D,4,FALSE),IFERROR(IF(ISNUMBER(MATCH(C89,Fichas!$A:$A,0)),"un",""),""))))</f>
      </c>
      <c r="F89" s="8">
        <f>IF(C89="","",IFERROR(VLOOKUP(C89,Insumos!$A:$G,7,FALSE),100))</f>
      </c>
      <c r="G89" s="9">
        <f>IF(C89="","",IFERROR(VLOOKUP(C89,Insumos!$A:$J,10,FALSE),IFERROR(VLOOKUP(C89,Preparos!$A:$F,6,FALSE),IFERROR(VLOOKUP(C89,Fichas!$A:$D,4,FALSE),0))))</f>
      </c>
      <c r="H89" s="10">
        <f>IF(OR(D89="",G89="",F89=0),"",D89*G89*(100/F89))</f>
      </c>
      <c r="I89" s="5"/>
    </row>
    <row r="90" spans="1:9" x14ac:dyDescent="0.25">
      <c r="A90" s="7"/>
      <c r="B90" s="8">
        <f>IF(C90="","",IF(ISNUMBER(MATCH(C90,Insumos!$A:$A,0)),"insumo",IF(ISNUMBER(MATCH(C90,Preparos!$A:$A,0)),"preparo",IF(ISNUMBER(MATCH(C90,Fichas!$A:$A,0)),"ficha",""))))</f>
      </c>
      <c r="C90" s="7"/>
      <c r="D90" s="7"/>
      <c r="E90" s="8">
        <f>IF(C90="","",IFERROR(VLOOKUP(C90,Insumos!$A:$I,9,FALSE),IFERROR(VLOOKUP(C90,Preparos!$A:$D,4,FALSE),IFERROR(IF(ISNUMBER(MATCH(C90,Fichas!$A:$A,0)),"un",""),""))))</f>
      </c>
      <c r="F90" s="8">
        <f>IF(C90="","",IFERROR(VLOOKUP(C90,Insumos!$A:$G,7,FALSE),100))</f>
      </c>
      <c r="G90" s="9">
        <f>IF(C90="","",IFERROR(VLOOKUP(C90,Insumos!$A:$J,10,FALSE),IFERROR(VLOOKUP(C90,Preparos!$A:$F,6,FALSE),IFERROR(VLOOKUP(C90,Fichas!$A:$D,4,FALSE),0))))</f>
      </c>
      <c r="H90" s="10">
        <f>IF(OR(D90="",G90="",F90=0),"",D90*G90*(100/F90))</f>
      </c>
      <c r="I90" s="5"/>
    </row>
    <row r="91" spans="1:9" x14ac:dyDescent="0.25">
      <c r="A91" s="7"/>
      <c r="B91" s="8">
        <f>IF(C91="","",IF(ISNUMBER(MATCH(C91,Insumos!$A:$A,0)),"insumo",IF(ISNUMBER(MATCH(C91,Preparos!$A:$A,0)),"preparo",IF(ISNUMBER(MATCH(C91,Fichas!$A:$A,0)),"ficha",""))))</f>
      </c>
      <c r="C91" s="7"/>
      <c r="D91" s="7"/>
      <c r="E91" s="8">
        <f>IF(C91="","",IFERROR(VLOOKUP(C91,Insumos!$A:$I,9,FALSE),IFERROR(VLOOKUP(C91,Preparos!$A:$D,4,FALSE),IFERROR(IF(ISNUMBER(MATCH(C91,Fichas!$A:$A,0)),"un",""),""))))</f>
      </c>
      <c r="F91" s="8">
        <f>IF(C91="","",IFERROR(VLOOKUP(C91,Insumos!$A:$G,7,FALSE),100))</f>
      </c>
      <c r="G91" s="9">
        <f>IF(C91="","",IFERROR(VLOOKUP(C91,Insumos!$A:$J,10,FALSE),IFERROR(VLOOKUP(C91,Preparos!$A:$F,6,FALSE),IFERROR(VLOOKUP(C91,Fichas!$A:$D,4,FALSE),0))))</f>
      </c>
      <c r="H91" s="10">
        <f>IF(OR(D91="",G91="",F91=0),"",D91*G91*(100/F91))</f>
      </c>
      <c r="I91" s="5"/>
    </row>
    <row r="92" spans="1:9" x14ac:dyDescent="0.25">
      <c r="A92" s="7"/>
      <c r="B92" s="8">
        <f>IF(C92="","",IF(ISNUMBER(MATCH(C92,Insumos!$A:$A,0)),"insumo",IF(ISNUMBER(MATCH(C92,Preparos!$A:$A,0)),"preparo",IF(ISNUMBER(MATCH(C92,Fichas!$A:$A,0)),"ficha",""))))</f>
      </c>
      <c r="C92" s="7"/>
      <c r="D92" s="7"/>
      <c r="E92" s="8">
        <f>IF(C92="","",IFERROR(VLOOKUP(C92,Insumos!$A:$I,9,FALSE),IFERROR(VLOOKUP(C92,Preparos!$A:$D,4,FALSE),IFERROR(IF(ISNUMBER(MATCH(C92,Fichas!$A:$A,0)),"un",""),""))))</f>
      </c>
      <c r="F92" s="8">
        <f>IF(C92="","",IFERROR(VLOOKUP(C92,Insumos!$A:$G,7,FALSE),100))</f>
      </c>
      <c r="G92" s="9">
        <f>IF(C92="","",IFERROR(VLOOKUP(C92,Insumos!$A:$J,10,FALSE),IFERROR(VLOOKUP(C92,Preparos!$A:$F,6,FALSE),IFERROR(VLOOKUP(C92,Fichas!$A:$D,4,FALSE),0))))</f>
      </c>
      <c r="H92" s="10">
        <f>IF(OR(D92="",G92="",F92=0),"",D92*G92*(100/F92))</f>
      </c>
      <c r="I92" s="5"/>
    </row>
    <row r="93" spans="1:9" x14ac:dyDescent="0.25">
      <c r="A93" s="7"/>
      <c r="B93" s="8">
        <f>IF(C93="","",IF(ISNUMBER(MATCH(C93,Insumos!$A:$A,0)),"insumo",IF(ISNUMBER(MATCH(C93,Preparos!$A:$A,0)),"preparo",IF(ISNUMBER(MATCH(C93,Fichas!$A:$A,0)),"ficha",""))))</f>
      </c>
      <c r="C93" s="7"/>
      <c r="D93" s="7"/>
      <c r="E93" s="8">
        <f>IF(C93="","",IFERROR(VLOOKUP(C93,Insumos!$A:$I,9,FALSE),IFERROR(VLOOKUP(C93,Preparos!$A:$D,4,FALSE),IFERROR(IF(ISNUMBER(MATCH(C93,Fichas!$A:$A,0)),"un",""),""))))</f>
      </c>
      <c r="F93" s="8">
        <f>IF(C93="","",IFERROR(VLOOKUP(C93,Insumos!$A:$G,7,FALSE),100))</f>
      </c>
      <c r="G93" s="9">
        <f>IF(C93="","",IFERROR(VLOOKUP(C93,Insumos!$A:$J,10,FALSE),IFERROR(VLOOKUP(C93,Preparos!$A:$F,6,FALSE),IFERROR(VLOOKUP(C93,Fichas!$A:$D,4,FALSE),0))))</f>
      </c>
      <c r="H93" s="10">
        <f>IF(OR(D93="",G93="",F93=0),"",D93*G93*(100/F93))</f>
      </c>
      <c r="I93" s="5"/>
    </row>
    <row r="94" spans="1:9" x14ac:dyDescent="0.25">
      <c r="A94" s="7"/>
      <c r="B94" s="8">
        <f>IF(C94="","",IF(ISNUMBER(MATCH(C94,Insumos!$A:$A,0)),"insumo",IF(ISNUMBER(MATCH(C94,Preparos!$A:$A,0)),"preparo",IF(ISNUMBER(MATCH(C94,Fichas!$A:$A,0)),"ficha",""))))</f>
      </c>
      <c r="C94" s="7"/>
      <c r="D94" s="7"/>
      <c r="E94" s="8">
        <f>IF(C94="","",IFERROR(VLOOKUP(C94,Insumos!$A:$I,9,FALSE),IFERROR(VLOOKUP(C94,Preparos!$A:$D,4,FALSE),IFERROR(IF(ISNUMBER(MATCH(C94,Fichas!$A:$A,0)),"un",""),""))))</f>
      </c>
      <c r="F94" s="8">
        <f>IF(C94="","",IFERROR(VLOOKUP(C94,Insumos!$A:$G,7,FALSE),100))</f>
      </c>
      <c r="G94" s="9">
        <f>IF(C94="","",IFERROR(VLOOKUP(C94,Insumos!$A:$J,10,FALSE),IFERROR(VLOOKUP(C94,Preparos!$A:$F,6,FALSE),IFERROR(VLOOKUP(C94,Fichas!$A:$D,4,FALSE),0))))</f>
      </c>
      <c r="H94" s="10">
        <f>IF(OR(D94="",G94="",F94=0),"",D94*G94*(100/F94))</f>
      </c>
      <c r="I94" s="5"/>
    </row>
    <row r="95" spans="1:9" x14ac:dyDescent="0.25">
      <c r="A95" s="7"/>
      <c r="B95" s="8">
        <f>IF(C95="","",IF(ISNUMBER(MATCH(C95,Insumos!$A:$A,0)),"insumo",IF(ISNUMBER(MATCH(C95,Preparos!$A:$A,0)),"preparo",IF(ISNUMBER(MATCH(C95,Fichas!$A:$A,0)),"ficha",""))))</f>
      </c>
      <c r="C95" s="7"/>
      <c r="D95" s="7"/>
      <c r="E95" s="8">
        <f>IF(C95="","",IFERROR(VLOOKUP(C95,Insumos!$A:$I,9,FALSE),IFERROR(VLOOKUP(C95,Preparos!$A:$D,4,FALSE),IFERROR(IF(ISNUMBER(MATCH(C95,Fichas!$A:$A,0)),"un",""),""))))</f>
      </c>
      <c r="F95" s="8">
        <f>IF(C95="","",IFERROR(VLOOKUP(C95,Insumos!$A:$G,7,FALSE),100))</f>
      </c>
      <c r="G95" s="9">
        <f>IF(C95="","",IFERROR(VLOOKUP(C95,Insumos!$A:$J,10,FALSE),IFERROR(VLOOKUP(C95,Preparos!$A:$F,6,FALSE),IFERROR(VLOOKUP(C95,Fichas!$A:$D,4,FALSE),0))))</f>
      </c>
      <c r="H95" s="10">
        <f>IF(OR(D95="",G95="",F95=0),"",D95*G95*(100/F95))</f>
      </c>
      <c r="I95" s="5"/>
    </row>
    <row r="96" spans="1:9" x14ac:dyDescent="0.25">
      <c r="A96" s="7"/>
      <c r="B96" s="8">
        <f>IF(C96="","",IF(ISNUMBER(MATCH(C96,Insumos!$A:$A,0)),"insumo",IF(ISNUMBER(MATCH(C96,Preparos!$A:$A,0)),"preparo",IF(ISNUMBER(MATCH(C96,Fichas!$A:$A,0)),"ficha",""))))</f>
      </c>
      <c r="C96" s="7"/>
      <c r="D96" s="7"/>
      <c r="E96" s="8">
        <f>IF(C96="","",IFERROR(VLOOKUP(C96,Insumos!$A:$I,9,FALSE),IFERROR(VLOOKUP(C96,Preparos!$A:$D,4,FALSE),IFERROR(IF(ISNUMBER(MATCH(C96,Fichas!$A:$A,0)),"un",""),""))))</f>
      </c>
      <c r="F96" s="8">
        <f>IF(C96="","",IFERROR(VLOOKUP(C96,Insumos!$A:$G,7,FALSE),100))</f>
      </c>
      <c r="G96" s="9">
        <f>IF(C96="","",IFERROR(VLOOKUP(C96,Insumos!$A:$J,10,FALSE),IFERROR(VLOOKUP(C96,Preparos!$A:$F,6,FALSE),IFERROR(VLOOKUP(C96,Fichas!$A:$D,4,FALSE),0))))</f>
      </c>
      <c r="H96" s="10">
        <f>IF(OR(D96="",G96="",F96=0),"",D96*G96*(100/F96))</f>
      </c>
      <c r="I96" s="5"/>
    </row>
    <row r="97" spans="1:9" x14ac:dyDescent="0.25">
      <c r="A97" s="7"/>
      <c r="B97" s="8">
        <f>IF(C97="","",IF(ISNUMBER(MATCH(C97,Insumos!$A:$A,0)),"insumo",IF(ISNUMBER(MATCH(C97,Preparos!$A:$A,0)),"preparo",IF(ISNUMBER(MATCH(C97,Fichas!$A:$A,0)),"ficha",""))))</f>
      </c>
      <c r="C97" s="7"/>
      <c r="D97" s="7"/>
      <c r="E97" s="8">
        <f>IF(C97="","",IFERROR(VLOOKUP(C97,Insumos!$A:$I,9,FALSE),IFERROR(VLOOKUP(C97,Preparos!$A:$D,4,FALSE),IFERROR(IF(ISNUMBER(MATCH(C97,Fichas!$A:$A,0)),"un",""),""))))</f>
      </c>
      <c r="F97" s="8">
        <f>IF(C97="","",IFERROR(VLOOKUP(C97,Insumos!$A:$G,7,FALSE),100))</f>
      </c>
      <c r="G97" s="9">
        <f>IF(C97="","",IFERROR(VLOOKUP(C97,Insumos!$A:$J,10,FALSE),IFERROR(VLOOKUP(C97,Preparos!$A:$F,6,FALSE),IFERROR(VLOOKUP(C97,Fichas!$A:$D,4,FALSE),0))))</f>
      </c>
      <c r="H97" s="10">
        <f>IF(OR(D97="",G97="",F97=0),"",D97*G97*(100/F97))</f>
      </c>
      <c r="I97" s="5"/>
    </row>
    <row r="98" spans="1:9" x14ac:dyDescent="0.25">
      <c r="A98" s="7"/>
      <c r="B98" s="8">
        <f>IF(C98="","",IF(ISNUMBER(MATCH(C98,Insumos!$A:$A,0)),"insumo",IF(ISNUMBER(MATCH(C98,Preparos!$A:$A,0)),"preparo",IF(ISNUMBER(MATCH(C98,Fichas!$A:$A,0)),"ficha",""))))</f>
      </c>
      <c r="C98" s="7"/>
      <c r="D98" s="7"/>
      <c r="E98" s="8">
        <f>IF(C98="","",IFERROR(VLOOKUP(C98,Insumos!$A:$I,9,FALSE),IFERROR(VLOOKUP(C98,Preparos!$A:$D,4,FALSE),IFERROR(IF(ISNUMBER(MATCH(C98,Fichas!$A:$A,0)),"un",""),""))))</f>
      </c>
      <c r="F98" s="8">
        <f>IF(C98="","",IFERROR(VLOOKUP(C98,Insumos!$A:$G,7,FALSE),100))</f>
      </c>
      <c r="G98" s="9">
        <f>IF(C98="","",IFERROR(VLOOKUP(C98,Insumos!$A:$J,10,FALSE),IFERROR(VLOOKUP(C98,Preparos!$A:$F,6,FALSE),IFERROR(VLOOKUP(C98,Fichas!$A:$D,4,FALSE),0))))</f>
      </c>
      <c r="H98" s="10">
        <f>IF(OR(D98="",G98="",F98=0),"",D98*G98*(100/F98))</f>
      </c>
      <c r="I98" s="5"/>
    </row>
    <row r="99" spans="1:9" x14ac:dyDescent="0.25">
      <c r="A99" s="7"/>
      <c r="B99" s="8">
        <f>IF(C99="","",IF(ISNUMBER(MATCH(C99,Insumos!$A:$A,0)),"insumo",IF(ISNUMBER(MATCH(C99,Preparos!$A:$A,0)),"preparo",IF(ISNUMBER(MATCH(C99,Fichas!$A:$A,0)),"ficha",""))))</f>
      </c>
      <c r="C99" s="7"/>
      <c r="D99" s="7"/>
      <c r="E99" s="8">
        <f>IF(C99="","",IFERROR(VLOOKUP(C99,Insumos!$A:$I,9,FALSE),IFERROR(VLOOKUP(C99,Preparos!$A:$D,4,FALSE),IFERROR(IF(ISNUMBER(MATCH(C99,Fichas!$A:$A,0)),"un",""),""))))</f>
      </c>
      <c r="F99" s="8">
        <f>IF(C99="","",IFERROR(VLOOKUP(C99,Insumos!$A:$G,7,FALSE),100))</f>
      </c>
      <c r="G99" s="9">
        <f>IF(C99="","",IFERROR(VLOOKUP(C99,Insumos!$A:$J,10,FALSE),IFERROR(VLOOKUP(C99,Preparos!$A:$F,6,FALSE),IFERROR(VLOOKUP(C99,Fichas!$A:$D,4,FALSE),0))))</f>
      </c>
      <c r="H99" s="10">
        <f>IF(OR(D99="",G99="",F99=0),"",D99*G99*(100/F99))</f>
      </c>
      <c r="I99" s="5"/>
    </row>
    <row r="100" spans="1:9" x14ac:dyDescent="0.25">
      <c r="A100" s="7"/>
      <c r="B100" s="8">
        <f>IF(C100="","",IF(ISNUMBER(MATCH(C100,Insumos!$A:$A,0)),"insumo",IF(ISNUMBER(MATCH(C100,Preparos!$A:$A,0)),"preparo",IF(ISNUMBER(MATCH(C100,Fichas!$A:$A,0)),"ficha",""))))</f>
      </c>
      <c r="C100" s="7"/>
      <c r="D100" s="7"/>
      <c r="E100" s="8">
        <f>IF(C100="","",IFERROR(VLOOKUP(C100,Insumos!$A:$I,9,FALSE),IFERROR(VLOOKUP(C100,Preparos!$A:$D,4,FALSE),IFERROR(IF(ISNUMBER(MATCH(C100,Fichas!$A:$A,0)),"un",""),""))))</f>
      </c>
      <c r="F100" s="8">
        <f>IF(C100="","",IFERROR(VLOOKUP(C100,Insumos!$A:$G,7,FALSE),100))</f>
      </c>
      <c r="G100" s="9">
        <f>IF(C100="","",IFERROR(VLOOKUP(C100,Insumos!$A:$J,10,FALSE),IFERROR(VLOOKUP(C100,Preparos!$A:$F,6,FALSE),IFERROR(VLOOKUP(C100,Fichas!$A:$D,4,FALSE),0))))</f>
      </c>
      <c r="H100" s="10">
        <f>IF(OR(D100="",G100="",F100=0),"",D100*G100*(100/F100))</f>
      </c>
      <c r="I100" s="5"/>
    </row>
    <row r="101" spans="1:9" x14ac:dyDescent="0.25">
      <c r="A101" s="7"/>
      <c r="B101" s="8">
        <f>IF(C101="","",IF(ISNUMBER(MATCH(C101,Insumos!$A:$A,0)),"insumo",IF(ISNUMBER(MATCH(C101,Preparos!$A:$A,0)),"preparo",IF(ISNUMBER(MATCH(C101,Fichas!$A:$A,0)),"ficha",""))))</f>
      </c>
      <c r="C101" s="7"/>
      <c r="D101" s="7"/>
      <c r="E101" s="8">
        <f>IF(C101="","",IFERROR(VLOOKUP(C101,Insumos!$A:$I,9,FALSE),IFERROR(VLOOKUP(C101,Preparos!$A:$D,4,FALSE),IFERROR(IF(ISNUMBER(MATCH(C101,Fichas!$A:$A,0)),"un",""),""))))</f>
      </c>
      <c r="F101" s="8">
        <f>IF(C101="","",IFERROR(VLOOKUP(C101,Insumos!$A:$G,7,FALSE),100))</f>
      </c>
      <c r="G101" s="9">
        <f>IF(C101="","",IFERROR(VLOOKUP(C101,Insumos!$A:$J,10,FALSE),IFERROR(VLOOKUP(C101,Preparos!$A:$F,6,FALSE),IFERROR(VLOOKUP(C101,Fichas!$A:$D,4,FALSE),0))))</f>
      </c>
      <c r="H101" s="10">
        <f>IF(OR(D101="",G101="",F101=0),"",D101*G101*(100/F101))</f>
      </c>
      <c r="I101" s="5"/>
    </row>
    <row r="102" spans="1:9" x14ac:dyDescent="0.25">
      <c r="A102" s="7"/>
      <c r="B102" s="8">
        <f>IF(C102="","",IF(ISNUMBER(MATCH(C102,Insumos!$A:$A,0)),"insumo",IF(ISNUMBER(MATCH(C102,Preparos!$A:$A,0)),"preparo",IF(ISNUMBER(MATCH(C102,Fichas!$A:$A,0)),"ficha",""))))</f>
      </c>
      <c r="C102" s="7"/>
      <c r="D102" s="7"/>
      <c r="E102" s="8">
        <f>IF(C102="","",IFERROR(VLOOKUP(C102,Insumos!$A:$I,9,FALSE),IFERROR(VLOOKUP(C102,Preparos!$A:$D,4,FALSE),IFERROR(IF(ISNUMBER(MATCH(C102,Fichas!$A:$A,0)),"un",""),""))))</f>
      </c>
      <c r="F102" s="8">
        <f>IF(C102="","",IFERROR(VLOOKUP(C102,Insumos!$A:$G,7,FALSE),100))</f>
      </c>
      <c r="G102" s="9">
        <f>IF(C102="","",IFERROR(VLOOKUP(C102,Insumos!$A:$J,10,FALSE),IFERROR(VLOOKUP(C102,Preparos!$A:$F,6,FALSE),IFERROR(VLOOKUP(C102,Fichas!$A:$D,4,FALSE),0))))</f>
      </c>
      <c r="H102" s="10">
        <f>IF(OR(D102="",G102="",F102=0),"",D102*G102*(100/F102))</f>
      </c>
      <c r="I102" s="5"/>
    </row>
    <row r="103" spans="1:9" x14ac:dyDescent="0.25">
      <c r="A103" s="7"/>
      <c r="B103" s="8">
        <f>IF(C103="","",IF(ISNUMBER(MATCH(C103,Insumos!$A:$A,0)),"insumo",IF(ISNUMBER(MATCH(C103,Preparos!$A:$A,0)),"preparo",IF(ISNUMBER(MATCH(C103,Fichas!$A:$A,0)),"ficha",""))))</f>
      </c>
      <c r="C103" s="7"/>
      <c r="D103" s="7"/>
      <c r="E103" s="8">
        <f>IF(C103="","",IFERROR(VLOOKUP(C103,Insumos!$A:$I,9,FALSE),IFERROR(VLOOKUP(C103,Preparos!$A:$D,4,FALSE),IFERROR(IF(ISNUMBER(MATCH(C103,Fichas!$A:$A,0)),"un",""),""))))</f>
      </c>
      <c r="F103" s="8">
        <f>IF(C103="","",IFERROR(VLOOKUP(C103,Insumos!$A:$G,7,FALSE),100))</f>
      </c>
      <c r="G103" s="9">
        <f>IF(C103="","",IFERROR(VLOOKUP(C103,Insumos!$A:$J,10,FALSE),IFERROR(VLOOKUP(C103,Preparos!$A:$F,6,FALSE),IFERROR(VLOOKUP(C103,Fichas!$A:$D,4,FALSE),0))))</f>
      </c>
      <c r="H103" s="10">
        <f>IF(OR(D103="",G103="",F103=0),"",D103*G103*(100/F103))</f>
      </c>
      <c r="I103" s="5"/>
    </row>
    <row r="104" spans="1:9" x14ac:dyDescent="0.25">
      <c r="A104" s="7"/>
      <c r="B104" s="8">
        <f>IF(C104="","",IF(ISNUMBER(MATCH(C104,Insumos!$A:$A,0)),"insumo",IF(ISNUMBER(MATCH(C104,Preparos!$A:$A,0)),"preparo",IF(ISNUMBER(MATCH(C104,Fichas!$A:$A,0)),"ficha",""))))</f>
      </c>
      <c r="C104" s="7"/>
      <c r="D104" s="7"/>
      <c r="E104" s="8">
        <f>IF(C104="","",IFERROR(VLOOKUP(C104,Insumos!$A:$I,9,FALSE),IFERROR(VLOOKUP(C104,Preparos!$A:$D,4,FALSE),IFERROR(IF(ISNUMBER(MATCH(C104,Fichas!$A:$A,0)),"un",""),""))))</f>
      </c>
      <c r="F104" s="8">
        <f>IF(C104="","",IFERROR(VLOOKUP(C104,Insumos!$A:$G,7,FALSE),100))</f>
      </c>
      <c r="G104" s="9">
        <f>IF(C104="","",IFERROR(VLOOKUP(C104,Insumos!$A:$J,10,FALSE),IFERROR(VLOOKUP(C104,Preparos!$A:$F,6,FALSE),IFERROR(VLOOKUP(C104,Fichas!$A:$D,4,FALSE),0))))</f>
      </c>
      <c r="H104" s="10">
        <f>IF(OR(D104="",G104="",F104=0),"",D104*G104*(100/F104))</f>
      </c>
      <c r="I104" s="5"/>
    </row>
    <row r="105" spans="1:9" x14ac:dyDescent="0.25">
      <c r="A105" s="7"/>
      <c r="B105" s="8">
        <f>IF(C105="","",IF(ISNUMBER(MATCH(C105,Insumos!$A:$A,0)),"insumo",IF(ISNUMBER(MATCH(C105,Preparos!$A:$A,0)),"preparo",IF(ISNUMBER(MATCH(C105,Fichas!$A:$A,0)),"ficha",""))))</f>
      </c>
      <c r="C105" s="7"/>
      <c r="D105" s="7"/>
      <c r="E105" s="8">
        <f>IF(C105="","",IFERROR(VLOOKUP(C105,Insumos!$A:$I,9,FALSE),IFERROR(VLOOKUP(C105,Preparos!$A:$D,4,FALSE),IFERROR(IF(ISNUMBER(MATCH(C105,Fichas!$A:$A,0)),"un",""),""))))</f>
      </c>
      <c r="F105" s="8">
        <f>IF(C105="","",IFERROR(VLOOKUP(C105,Insumos!$A:$G,7,FALSE),100))</f>
      </c>
      <c r="G105" s="9">
        <f>IF(C105="","",IFERROR(VLOOKUP(C105,Insumos!$A:$J,10,FALSE),IFERROR(VLOOKUP(C105,Preparos!$A:$F,6,FALSE),IFERROR(VLOOKUP(C105,Fichas!$A:$D,4,FALSE),0))))</f>
      </c>
      <c r="H105" s="10">
        <f>IF(OR(D105="",G105="",F105=0),"",D105*G105*(100/F105))</f>
      </c>
      <c r="I105" s="5"/>
    </row>
    <row r="106" spans="1:9" x14ac:dyDescent="0.25">
      <c r="A106" s="7"/>
      <c r="B106" s="8">
        <f>IF(C106="","",IF(ISNUMBER(MATCH(C106,Insumos!$A:$A,0)),"insumo",IF(ISNUMBER(MATCH(C106,Preparos!$A:$A,0)),"preparo",IF(ISNUMBER(MATCH(C106,Fichas!$A:$A,0)),"ficha",""))))</f>
      </c>
      <c r="C106" s="7"/>
      <c r="D106" s="7"/>
      <c r="E106" s="8">
        <f>IF(C106="","",IFERROR(VLOOKUP(C106,Insumos!$A:$I,9,FALSE),IFERROR(VLOOKUP(C106,Preparos!$A:$D,4,FALSE),IFERROR(IF(ISNUMBER(MATCH(C106,Fichas!$A:$A,0)),"un",""),""))))</f>
      </c>
      <c r="F106" s="8">
        <f>IF(C106="","",IFERROR(VLOOKUP(C106,Insumos!$A:$G,7,FALSE),100))</f>
      </c>
      <c r="G106" s="9">
        <f>IF(C106="","",IFERROR(VLOOKUP(C106,Insumos!$A:$J,10,FALSE),IFERROR(VLOOKUP(C106,Preparos!$A:$F,6,FALSE),IFERROR(VLOOKUP(C106,Fichas!$A:$D,4,FALSE),0))))</f>
      </c>
      <c r="H106" s="10">
        <f>IF(OR(D106="",G106="",F106=0),"",D106*G106*(100/F106))</f>
      </c>
      <c r="I106" s="5"/>
    </row>
    <row r="107" spans="1:9" x14ac:dyDescent="0.25">
      <c r="A107" s="7"/>
      <c r="B107" s="8">
        <f>IF(C107="","",IF(ISNUMBER(MATCH(C107,Insumos!$A:$A,0)),"insumo",IF(ISNUMBER(MATCH(C107,Preparos!$A:$A,0)),"preparo",IF(ISNUMBER(MATCH(C107,Fichas!$A:$A,0)),"ficha",""))))</f>
      </c>
      <c r="C107" s="7"/>
      <c r="D107" s="7"/>
      <c r="E107" s="8">
        <f>IF(C107="","",IFERROR(VLOOKUP(C107,Insumos!$A:$I,9,FALSE),IFERROR(VLOOKUP(C107,Preparos!$A:$D,4,FALSE),IFERROR(IF(ISNUMBER(MATCH(C107,Fichas!$A:$A,0)),"un",""),""))))</f>
      </c>
      <c r="F107" s="8">
        <f>IF(C107="","",IFERROR(VLOOKUP(C107,Insumos!$A:$G,7,FALSE),100))</f>
      </c>
      <c r="G107" s="9">
        <f>IF(C107="","",IFERROR(VLOOKUP(C107,Insumos!$A:$J,10,FALSE),IFERROR(VLOOKUP(C107,Preparos!$A:$F,6,FALSE),IFERROR(VLOOKUP(C107,Fichas!$A:$D,4,FALSE),0))))</f>
      </c>
      <c r="H107" s="10">
        <f>IF(OR(D107="",G107="",F107=0),"",D107*G107*(100/F107))</f>
      </c>
      <c r="I107" s="5"/>
    </row>
    <row r="108" spans="1:9" x14ac:dyDescent="0.25">
      <c r="A108" s="7"/>
      <c r="B108" s="8">
        <f>IF(C108="","",IF(ISNUMBER(MATCH(C108,Insumos!$A:$A,0)),"insumo",IF(ISNUMBER(MATCH(C108,Preparos!$A:$A,0)),"preparo",IF(ISNUMBER(MATCH(C108,Fichas!$A:$A,0)),"ficha",""))))</f>
      </c>
      <c r="C108" s="7"/>
      <c r="D108" s="7"/>
      <c r="E108" s="8">
        <f>IF(C108="","",IFERROR(VLOOKUP(C108,Insumos!$A:$I,9,FALSE),IFERROR(VLOOKUP(C108,Preparos!$A:$D,4,FALSE),IFERROR(IF(ISNUMBER(MATCH(C108,Fichas!$A:$A,0)),"un",""),""))))</f>
      </c>
      <c r="F108" s="8">
        <f>IF(C108="","",IFERROR(VLOOKUP(C108,Insumos!$A:$G,7,FALSE),100))</f>
      </c>
      <c r="G108" s="9">
        <f>IF(C108="","",IFERROR(VLOOKUP(C108,Insumos!$A:$J,10,FALSE),IFERROR(VLOOKUP(C108,Preparos!$A:$F,6,FALSE),IFERROR(VLOOKUP(C108,Fichas!$A:$D,4,FALSE),0))))</f>
      </c>
      <c r="H108" s="10">
        <f>IF(OR(D108="",G108="",F108=0),"",D108*G108*(100/F108))</f>
      </c>
      <c r="I108" s="5"/>
    </row>
    <row r="109" spans="1:9" x14ac:dyDescent="0.25">
      <c r="A109" s="7"/>
      <c r="B109" s="8">
        <f>IF(C109="","",IF(ISNUMBER(MATCH(C109,Insumos!$A:$A,0)),"insumo",IF(ISNUMBER(MATCH(C109,Preparos!$A:$A,0)),"preparo",IF(ISNUMBER(MATCH(C109,Fichas!$A:$A,0)),"ficha",""))))</f>
      </c>
      <c r="C109" s="7"/>
      <c r="D109" s="7"/>
      <c r="E109" s="8">
        <f>IF(C109="","",IFERROR(VLOOKUP(C109,Insumos!$A:$I,9,FALSE),IFERROR(VLOOKUP(C109,Preparos!$A:$D,4,FALSE),IFERROR(IF(ISNUMBER(MATCH(C109,Fichas!$A:$A,0)),"un",""),""))))</f>
      </c>
      <c r="F109" s="8">
        <f>IF(C109="","",IFERROR(VLOOKUP(C109,Insumos!$A:$G,7,FALSE),100))</f>
      </c>
      <c r="G109" s="9">
        <f>IF(C109="","",IFERROR(VLOOKUP(C109,Insumos!$A:$J,10,FALSE),IFERROR(VLOOKUP(C109,Preparos!$A:$F,6,FALSE),IFERROR(VLOOKUP(C109,Fichas!$A:$D,4,FALSE),0))))</f>
      </c>
      <c r="H109" s="10">
        <f>IF(OR(D109="",G109="",F109=0),"",D109*G109*(100/F109))</f>
      </c>
      <c r="I109" s="5"/>
    </row>
    <row r="110" spans="1:9" x14ac:dyDescent="0.25">
      <c r="A110" s="7"/>
      <c r="B110" s="8">
        <f>IF(C110="","",IF(ISNUMBER(MATCH(C110,Insumos!$A:$A,0)),"insumo",IF(ISNUMBER(MATCH(C110,Preparos!$A:$A,0)),"preparo",IF(ISNUMBER(MATCH(C110,Fichas!$A:$A,0)),"ficha",""))))</f>
      </c>
      <c r="C110" s="7"/>
      <c r="D110" s="7"/>
      <c r="E110" s="8">
        <f>IF(C110="","",IFERROR(VLOOKUP(C110,Insumos!$A:$I,9,FALSE),IFERROR(VLOOKUP(C110,Preparos!$A:$D,4,FALSE),IFERROR(IF(ISNUMBER(MATCH(C110,Fichas!$A:$A,0)),"un",""),""))))</f>
      </c>
      <c r="F110" s="8">
        <f>IF(C110="","",IFERROR(VLOOKUP(C110,Insumos!$A:$G,7,FALSE),100))</f>
      </c>
      <c r="G110" s="9">
        <f>IF(C110="","",IFERROR(VLOOKUP(C110,Insumos!$A:$J,10,FALSE),IFERROR(VLOOKUP(C110,Preparos!$A:$F,6,FALSE),IFERROR(VLOOKUP(C110,Fichas!$A:$D,4,FALSE),0))))</f>
      </c>
      <c r="H110" s="10">
        <f>IF(OR(D110="",G110="",F110=0),"",D110*G110*(100/F110))</f>
      </c>
      <c r="I110" s="5"/>
    </row>
    <row r="111" spans="1:9" x14ac:dyDescent="0.25">
      <c r="A111" s="7"/>
      <c r="B111" s="8">
        <f>IF(C111="","",IF(ISNUMBER(MATCH(C111,Insumos!$A:$A,0)),"insumo",IF(ISNUMBER(MATCH(C111,Preparos!$A:$A,0)),"preparo",IF(ISNUMBER(MATCH(C111,Fichas!$A:$A,0)),"ficha",""))))</f>
      </c>
      <c r="C111" s="7"/>
      <c r="D111" s="7"/>
      <c r="E111" s="8">
        <f>IF(C111="","",IFERROR(VLOOKUP(C111,Insumos!$A:$I,9,FALSE),IFERROR(VLOOKUP(C111,Preparos!$A:$D,4,FALSE),IFERROR(IF(ISNUMBER(MATCH(C111,Fichas!$A:$A,0)),"un",""),""))))</f>
      </c>
      <c r="F111" s="8">
        <f>IF(C111="","",IFERROR(VLOOKUP(C111,Insumos!$A:$G,7,FALSE),100))</f>
      </c>
      <c r="G111" s="9">
        <f>IF(C111="","",IFERROR(VLOOKUP(C111,Insumos!$A:$J,10,FALSE),IFERROR(VLOOKUP(C111,Preparos!$A:$F,6,FALSE),IFERROR(VLOOKUP(C111,Fichas!$A:$D,4,FALSE),0))))</f>
      </c>
      <c r="H111" s="10">
        <f>IF(OR(D111="",G111="",F111=0),"",D111*G111*(100/F111))</f>
      </c>
      <c r="I111" s="5"/>
    </row>
    <row r="112" spans="1:9" x14ac:dyDescent="0.25">
      <c r="A112" s="7"/>
      <c r="B112" s="8">
        <f>IF(C112="","",IF(ISNUMBER(MATCH(C112,Insumos!$A:$A,0)),"insumo",IF(ISNUMBER(MATCH(C112,Preparos!$A:$A,0)),"preparo",IF(ISNUMBER(MATCH(C112,Fichas!$A:$A,0)),"ficha",""))))</f>
      </c>
      <c r="C112" s="7"/>
      <c r="D112" s="7"/>
      <c r="E112" s="8">
        <f>IF(C112="","",IFERROR(VLOOKUP(C112,Insumos!$A:$I,9,FALSE),IFERROR(VLOOKUP(C112,Preparos!$A:$D,4,FALSE),IFERROR(IF(ISNUMBER(MATCH(C112,Fichas!$A:$A,0)),"un",""),""))))</f>
      </c>
      <c r="F112" s="8">
        <f>IF(C112="","",IFERROR(VLOOKUP(C112,Insumos!$A:$G,7,FALSE),100))</f>
      </c>
      <c r="G112" s="9">
        <f>IF(C112="","",IFERROR(VLOOKUP(C112,Insumos!$A:$J,10,FALSE),IFERROR(VLOOKUP(C112,Preparos!$A:$F,6,FALSE),IFERROR(VLOOKUP(C112,Fichas!$A:$D,4,FALSE),0))))</f>
      </c>
      <c r="H112" s="10">
        <f>IF(OR(D112="",G112="",F112=0),"",D112*G112*(100/F112))</f>
      </c>
      <c r="I112" s="5"/>
    </row>
    <row r="113" spans="1:9" x14ac:dyDescent="0.25">
      <c r="A113" s="7"/>
      <c r="B113" s="8">
        <f>IF(C113="","",IF(ISNUMBER(MATCH(C113,Insumos!$A:$A,0)),"insumo",IF(ISNUMBER(MATCH(C113,Preparos!$A:$A,0)),"preparo",IF(ISNUMBER(MATCH(C113,Fichas!$A:$A,0)),"ficha",""))))</f>
      </c>
      <c r="C113" s="7"/>
      <c r="D113" s="7"/>
      <c r="E113" s="8">
        <f>IF(C113="","",IFERROR(VLOOKUP(C113,Insumos!$A:$I,9,FALSE),IFERROR(VLOOKUP(C113,Preparos!$A:$D,4,FALSE),IFERROR(IF(ISNUMBER(MATCH(C113,Fichas!$A:$A,0)),"un",""),""))))</f>
      </c>
      <c r="F113" s="8">
        <f>IF(C113="","",IFERROR(VLOOKUP(C113,Insumos!$A:$G,7,FALSE),100))</f>
      </c>
      <c r="G113" s="9">
        <f>IF(C113="","",IFERROR(VLOOKUP(C113,Insumos!$A:$J,10,FALSE),IFERROR(VLOOKUP(C113,Preparos!$A:$F,6,FALSE),IFERROR(VLOOKUP(C113,Fichas!$A:$D,4,FALSE),0))))</f>
      </c>
      <c r="H113" s="10">
        <f>IF(OR(D113="",G113="",F113=0),"",D113*G113*(100/F113))</f>
      </c>
      <c r="I113" s="5"/>
    </row>
    <row r="114" spans="1:9" x14ac:dyDescent="0.25">
      <c r="A114" s="7"/>
      <c r="B114" s="8">
        <f>IF(C114="","",IF(ISNUMBER(MATCH(C114,Insumos!$A:$A,0)),"insumo",IF(ISNUMBER(MATCH(C114,Preparos!$A:$A,0)),"preparo",IF(ISNUMBER(MATCH(C114,Fichas!$A:$A,0)),"ficha",""))))</f>
      </c>
      <c r="C114" s="7"/>
      <c r="D114" s="7"/>
      <c r="E114" s="8">
        <f>IF(C114="","",IFERROR(VLOOKUP(C114,Insumos!$A:$I,9,FALSE),IFERROR(VLOOKUP(C114,Preparos!$A:$D,4,FALSE),IFERROR(IF(ISNUMBER(MATCH(C114,Fichas!$A:$A,0)),"un",""),""))))</f>
      </c>
      <c r="F114" s="8">
        <f>IF(C114="","",IFERROR(VLOOKUP(C114,Insumos!$A:$G,7,FALSE),100))</f>
      </c>
      <c r="G114" s="9">
        <f>IF(C114="","",IFERROR(VLOOKUP(C114,Insumos!$A:$J,10,FALSE),IFERROR(VLOOKUP(C114,Preparos!$A:$F,6,FALSE),IFERROR(VLOOKUP(C114,Fichas!$A:$D,4,FALSE),0))))</f>
      </c>
      <c r="H114" s="10">
        <f>IF(OR(D114="",G114="",F114=0),"",D114*G114*(100/F114))</f>
      </c>
      <c r="I114" s="5"/>
    </row>
    <row r="115" spans="1:9" x14ac:dyDescent="0.25">
      <c r="A115" s="7"/>
      <c r="B115" s="8">
        <f>IF(C115="","",IF(ISNUMBER(MATCH(C115,Insumos!$A:$A,0)),"insumo",IF(ISNUMBER(MATCH(C115,Preparos!$A:$A,0)),"preparo",IF(ISNUMBER(MATCH(C115,Fichas!$A:$A,0)),"ficha",""))))</f>
      </c>
      <c r="C115" s="7"/>
      <c r="D115" s="7"/>
      <c r="E115" s="8">
        <f>IF(C115="","",IFERROR(VLOOKUP(C115,Insumos!$A:$I,9,FALSE),IFERROR(VLOOKUP(C115,Preparos!$A:$D,4,FALSE),IFERROR(IF(ISNUMBER(MATCH(C115,Fichas!$A:$A,0)),"un",""),""))))</f>
      </c>
      <c r="F115" s="8">
        <f>IF(C115="","",IFERROR(VLOOKUP(C115,Insumos!$A:$G,7,FALSE),100))</f>
      </c>
      <c r="G115" s="9">
        <f>IF(C115="","",IFERROR(VLOOKUP(C115,Insumos!$A:$J,10,FALSE),IFERROR(VLOOKUP(C115,Preparos!$A:$F,6,FALSE),IFERROR(VLOOKUP(C115,Fichas!$A:$D,4,FALSE),0))))</f>
      </c>
      <c r="H115" s="10">
        <f>IF(OR(D115="",G115="",F115=0),"",D115*G115*(100/F115))</f>
      </c>
      <c r="I115" s="5"/>
    </row>
    <row r="116" spans="1:9" x14ac:dyDescent="0.25">
      <c r="A116" s="7"/>
      <c r="B116" s="8">
        <f>IF(C116="","",IF(ISNUMBER(MATCH(C116,Insumos!$A:$A,0)),"insumo",IF(ISNUMBER(MATCH(C116,Preparos!$A:$A,0)),"preparo",IF(ISNUMBER(MATCH(C116,Fichas!$A:$A,0)),"ficha",""))))</f>
      </c>
      <c r="C116" s="7"/>
      <c r="D116" s="7"/>
      <c r="E116" s="8">
        <f>IF(C116="","",IFERROR(VLOOKUP(C116,Insumos!$A:$I,9,FALSE),IFERROR(VLOOKUP(C116,Preparos!$A:$D,4,FALSE),IFERROR(IF(ISNUMBER(MATCH(C116,Fichas!$A:$A,0)),"un",""),""))))</f>
      </c>
      <c r="F116" s="8">
        <f>IF(C116="","",IFERROR(VLOOKUP(C116,Insumos!$A:$G,7,FALSE),100))</f>
      </c>
      <c r="G116" s="9">
        <f>IF(C116="","",IFERROR(VLOOKUP(C116,Insumos!$A:$J,10,FALSE),IFERROR(VLOOKUP(C116,Preparos!$A:$F,6,FALSE),IFERROR(VLOOKUP(C116,Fichas!$A:$D,4,FALSE),0))))</f>
      </c>
      <c r="H116" s="10">
        <f>IF(OR(D116="",G116="",F116=0),"",D116*G116*(100/F116))</f>
      </c>
      <c r="I116" s="5"/>
    </row>
    <row r="117" spans="1:9" x14ac:dyDescent="0.25">
      <c r="A117" s="7"/>
      <c r="B117" s="8">
        <f>IF(C117="","",IF(ISNUMBER(MATCH(C117,Insumos!$A:$A,0)),"insumo",IF(ISNUMBER(MATCH(C117,Preparos!$A:$A,0)),"preparo",IF(ISNUMBER(MATCH(C117,Fichas!$A:$A,0)),"ficha",""))))</f>
      </c>
      <c r="C117" s="7"/>
      <c r="D117" s="7"/>
      <c r="E117" s="8">
        <f>IF(C117="","",IFERROR(VLOOKUP(C117,Insumos!$A:$I,9,FALSE),IFERROR(VLOOKUP(C117,Preparos!$A:$D,4,FALSE),IFERROR(IF(ISNUMBER(MATCH(C117,Fichas!$A:$A,0)),"un",""),""))))</f>
      </c>
      <c r="F117" s="8">
        <f>IF(C117="","",IFERROR(VLOOKUP(C117,Insumos!$A:$G,7,FALSE),100))</f>
      </c>
      <c r="G117" s="9">
        <f>IF(C117="","",IFERROR(VLOOKUP(C117,Insumos!$A:$J,10,FALSE),IFERROR(VLOOKUP(C117,Preparos!$A:$F,6,FALSE),IFERROR(VLOOKUP(C117,Fichas!$A:$D,4,FALSE),0))))</f>
      </c>
      <c r="H117" s="10">
        <f>IF(OR(D117="",G117="",F117=0),"",D117*G117*(100/F117))</f>
      </c>
      <c r="I117" s="5"/>
    </row>
    <row r="118" spans="1:9" x14ac:dyDescent="0.25">
      <c r="A118" s="7"/>
      <c r="B118" s="8">
        <f>IF(C118="","",IF(ISNUMBER(MATCH(C118,Insumos!$A:$A,0)),"insumo",IF(ISNUMBER(MATCH(C118,Preparos!$A:$A,0)),"preparo",IF(ISNUMBER(MATCH(C118,Fichas!$A:$A,0)),"ficha",""))))</f>
      </c>
      <c r="C118" s="7"/>
      <c r="D118" s="7"/>
      <c r="E118" s="8">
        <f>IF(C118="","",IFERROR(VLOOKUP(C118,Insumos!$A:$I,9,FALSE),IFERROR(VLOOKUP(C118,Preparos!$A:$D,4,FALSE),IFERROR(IF(ISNUMBER(MATCH(C118,Fichas!$A:$A,0)),"un",""),""))))</f>
      </c>
      <c r="F118" s="8">
        <f>IF(C118="","",IFERROR(VLOOKUP(C118,Insumos!$A:$G,7,FALSE),100))</f>
      </c>
      <c r="G118" s="9">
        <f>IF(C118="","",IFERROR(VLOOKUP(C118,Insumos!$A:$J,10,FALSE),IFERROR(VLOOKUP(C118,Preparos!$A:$F,6,FALSE),IFERROR(VLOOKUP(C118,Fichas!$A:$D,4,FALSE),0))))</f>
      </c>
      <c r="H118" s="10">
        <f>IF(OR(D118="",G118="",F118=0),"",D118*G118*(100/F118))</f>
      </c>
      <c r="I118" s="5"/>
    </row>
    <row r="119" spans="1:9" x14ac:dyDescent="0.25">
      <c r="A119" s="7"/>
      <c r="B119" s="8">
        <f>IF(C119="","",IF(ISNUMBER(MATCH(C119,Insumos!$A:$A,0)),"insumo",IF(ISNUMBER(MATCH(C119,Preparos!$A:$A,0)),"preparo",IF(ISNUMBER(MATCH(C119,Fichas!$A:$A,0)),"ficha",""))))</f>
      </c>
      <c r="C119" s="7"/>
      <c r="D119" s="7"/>
      <c r="E119" s="8">
        <f>IF(C119="","",IFERROR(VLOOKUP(C119,Insumos!$A:$I,9,FALSE),IFERROR(VLOOKUP(C119,Preparos!$A:$D,4,FALSE),IFERROR(IF(ISNUMBER(MATCH(C119,Fichas!$A:$A,0)),"un",""),""))))</f>
      </c>
      <c r="F119" s="8">
        <f>IF(C119="","",IFERROR(VLOOKUP(C119,Insumos!$A:$G,7,FALSE),100))</f>
      </c>
      <c r="G119" s="9">
        <f>IF(C119="","",IFERROR(VLOOKUP(C119,Insumos!$A:$J,10,FALSE),IFERROR(VLOOKUP(C119,Preparos!$A:$F,6,FALSE),IFERROR(VLOOKUP(C119,Fichas!$A:$D,4,FALSE),0))))</f>
      </c>
      <c r="H119" s="10">
        <f>IF(OR(D119="",G119="",F119=0),"",D119*G119*(100/F119))</f>
      </c>
      <c r="I119" s="5"/>
    </row>
    <row r="120" spans="1:9" x14ac:dyDescent="0.25">
      <c r="A120" s="7"/>
      <c r="B120" s="8">
        <f>IF(C120="","",IF(ISNUMBER(MATCH(C120,Insumos!$A:$A,0)),"insumo",IF(ISNUMBER(MATCH(C120,Preparos!$A:$A,0)),"preparo",IF(ISNUMBER(MATCH(C120,Fichas!$A:$A,0)),"ficha",""))))</f>
      </c>
      <c r="C120" s="7"/>
      <c r="D120" s="7"/>
      <c r="E120" s="8">
        <f>IF(C120="","",IFERROR(VLOOKUP(C120,Insumos!$A:$I,9,FALSE),IFERROR(VLOOKUP(C120,Preparos!$A:$D,4,FALSE),IFERROR(IF(ISNUMBER(MATCH(C120,Fichas!$A:$A,0)),"un",""),""))))</f>
      </c>
      <c r="F120" s="8">
        <f>IF(C120="","",IFERROR(VLOOKUP(C120,Insumos!$A:$G,7,FALSE),100))</f>
      </c>
      <c r="G120" s="9">
        <f>IF(C120="","",IFERROR(VLOOKUP(C120,Insumos!$A:$J,10,FALSE),IFERROR(VLOOKUP(C120,Preparos!$A:$F,6,FALSE),IFERROR(VLOOKUP(C120,Fichas!$A:$D,4,FALSE),0))))</f>
      </c>
      <c r="H120" s="10">
        <f>IF(OR(D120="",G120="",F120=0),"",D120*G120*(100/F120))</f>
      </c>
      <c r="I120" s="5"/>
    </row>
    <row r="121" spans="1:9" x14ac:dyDescent="0.25">
      <c r="A121" s="7"/>
      <c r="B121" s="8">
        <f>IF(C121="","",IF(ISNUMBER(MATCH(C121,Insumos!$A:$A,0)),"insumo",IF(ISNUMBER(MATCH(C121,Preparos!$A:$A,0)),"preparo",IF(ISNUMBER(MATCH(C121,Fichas!$A:$A,0)),"ficha",""))))</f>
      </c>
      <c r="C121" s="7"/>
      <c r="D121" s="7"/>
      <c r="E121" s="8">
        <f>IF(C121="","",IFERROR(VLOOKUP(C121,Insumos!$A:$I,9,FALSE),IFERROR(VLOOKUP(C121,Preparos!$A:$D,4,FALSE),IFERROR(IF(ISNUMBER(MATCH(C121,Fichas!$A:$A,0)),"un",""),""))))</f>
      </c>
      <c r="F121" s="8">
        <f>IF(C121="","",IFERROR(VLOOKUP(C121,Insumos!$A:$G,7,FALSE),100))</f>
      </c>
      <c r="G121" s="9">
        <f>IF(C121="","",IFERROR(VLOOKUP(C121,Insumos!$A:$J,10,FALSE),IFERROR(VLOOKUP(C121,Preparos!$A:$F,6,FALSE),IFERROR(VLOOKUP(C121,Fichas!$A:$D,4,FALSE),0))))</f>
      </c>
      <c r="H121" s="10">
        <f>IF(OR(D121="",G121="",F121=0),"",D121*G121*(100/F121))</f>
      </c>
      <c r="I121" s="5"/>
    </row>
    <row r="122" spans="1:9" x14ac:dyDescent="0.25">
      <c r="A122" s="7"/>
      <c r="B122" s="8">
        <f>IF(C122="","",IF(ISNUMBER(MATCH(C122,Insumos!$A:$A,0)),"insumo",IF(ISNUMBER(MATCH(C122,Preparos!$A:$A,0)),"preparo",IF(ISNUMBER(MATCH(C122,Fichas!$A:$A,0)),"ficha",""))))</f>
      </c>
      <c r="C122" s="7"/>
      <c r="D122" s="7"/>
      <c r="E122" s="8">
        <f>IF(C122="","",IFERROR(VLOOKUP(C122,Insumos!$A:$I,9,FALSE),IFERROR(VLOOKUP(C122,Preparos!$A:$D,4,FALSE),IFERROR(IF(ISNUMBER(MATCH(C122,Fichas!$A:$A,0)),"un",""),""))))</f>
      </c>
      <c r="F122" s="8">
        <f>IF(C122="","",IFERROR(VLOOKUP(C122,Insumos!$A:$G,7,FALSE),100))</f>
      </c>
      <c r="G122" s="9">
        <f>IF(C122="","",IFERROR(VLOOKUP(C122,Insumos!$A:$J,10,FALSE),IFERROR(VLOOKUP(C122,Preparos!$A:$F,6,FALSE),IFERROR(VLOOKUP(C122,Fichas!$A:$D,4,FALSE),0))))</f>
      </c>
      <c r="H122" s="10">
        <f>IF(OR(D122="",G122="",F122=0),"",D122*G122*(100/F122))</f>
      </c>
      <c r="I122" s="5"/>
    </row>
    <row r="123" spans="1:9" x14ac:dyDescent="0.25">
      <c r="A123" s="7"/>
      <c r="B123" s="8">
        <f>IF(C123="","",IF(ISNUMBER(MATCH(C123,Insumos!$A:$A,0)),"insumo",IF(ISNUMBER(MATCH(C123,Preparos!$A:$A,0)),"preparo",IF(ISNUMBER(MATCH(C123,Fichas!$A:$A,0)),"ficha",""))))</f>
      </c>
      <c r="C123" s="7"/>
      <c r="D123" s="7"/>
      <c r="E123" s="8">
        <f>IF(C123="","",IFERROR(VLOOKUP(C123,Insumos!$A:$I,9,FALSE),IFERROR(VLOOKUP(C123,Preparos!$A:$D,4,FALSE),IFERROR(IF(ISNUMBER(MATCH(C123,Fichas!$A:$A,0)),"un",""),""))))</f>
      </c>
      <c r="F123" s="8">
        <f>IF(C123="","",IFERROR(VLOOKUP(C123,Insumos!$A:$G,7,FALSE),100))</f>
      </c>
      <c r="G123" s="9">
        <f>IF(C123="","",IFERROR(VLOOKUP(C123,Insumos!$A:$J,10,FALSE),IFERROR(VLOOKUP(C123,Preparos!$A:$F,6,FALSE),IFERROR(VLOOKUP(C123,Fichas!$A:$D,4,FALSE),0))))</f>
      </c>
      <c r="H123" s="10">
        <f>IF(OR(D123="",G123="",F123=0),"",D123*G123*(100/F123))</f>
      </c>
      <c r="I123" s="5"/>
    </row>
    <row r="124" spans="1:9" x14ac:dyDescent="0.25">
      <c r="A124" s="7"/>
      <c r="B124" s="8">
        <f>IF(C124="","",IF(ISNUMBER(MATCH(C124,Insumos!$A:$A,0)),"insumo",IF(ISNUMBER(MATCH(C124,Preparos!$A:$A,0)),"preparo",IF(ISNUMBER(MATCH(C124,Fichas!$A:$A,0)),"ficha",""))))</f>
      </c>
      <c r="C124" s="7"/>
      <c r="D124" s="7"/>
      <c r="E124" s="8">
        <f>IF(C124="","",IFERROR(VLOOKUP(C124,Insumos!$A:$I,9,FALSE),IFERROR(VLOOKUP(C124,Preparos!$A:$D,4,FALSE),IFERROR(IF(ISNUMBER(MATCH(C124,Fichas!$A:$A,0)),"un",""),""))))</f>
      </c>
      <c r="F124" s="8">
        <f>IF(C124="","",IFERROR(VLOOKUP(C124,Insumos!$A:$G,7,FALSE),100))</f>
      </c>
      <c r="G124" s="9">
        <f>IF(C124="","",IFERROR(VLOOKUP(C124,Insumos!$A:$J,10,FALSE),IFERROR(VLOOKUP(C124,Preparos!$A:$F,6,FALSE),IFERROR(VLOOKUP(C124,Fichas!$A:$D,4,FALSE),0))))</f>
      </c>
      <c r="H124" s="10">
        <f>IF(OR(D124="",G124="",F124=0),"",D124*G124*(100/F124))</f>
      </c>
      <c r="I124" s="5"/>
    </row>
    <row r="125" spans="1:9" x14ac:dyDescent="0.25">
      <c r="A125" s="7"/>
      <c r="B125" s="8">
        <f>IF(C125="","",IF(ISNUMBER(MATCH(C125,Insumos!$A:$A,0)),"insumo",IF(ISNUMBER(MATCH(C125,Preparos!$A:$A,0)),"preparo",IF(ISNUMBER(MATCH(C125,Fichas!$A:$A,0)),"ficha",""))))</f>
      </c>
      <c r="C125" s="7"/>
      <c r="D125" s="7"/>
      <c r="E125" s="8">
        <f>IF(C125="","",IFERROR(VLOOKUP(C125,Insumos!$A:$I,9,FALSE),IFERROR(VLOOKUP(C125,Preparos!$A:$D,4,FALSE),IFERROR(IF(ISNUMBER(MATCH(C125,Fichas!$A:$A,0)),"un",""),""))))</f>
      </c>
      <c r="F125" s="8">
        <f>IF(C125="","",IFERROR(VLOOKUP(C125,Insumos!$A:$G,7,FALSE),100))</f>
      </c>
      <c r="G125" s="9">
        <f>IF(C125="","",IFERROR(VLOOKUP(C125,Insumos!$A:$J,10,FALSE),IFERROR(VLOOKUP(C125,Preparos!$A:$F,6,FALSE),IFERROR(VLOOKUP(C125,Fichas!$A:$D,4,FALSE),0))))</f>
      </c>
      <c r="H125" s="10">
        <f>IF(OR(D125="",G125="",F125=0),"",D125*G125*(100/F125))</f>
      </c>
      <c r="I125" s="5"/>
    </row>
    <row r="126" spans="1:9" x14ac:dyDescent="0.25">
      <c r="A126" s="7"/>
      <c r="B126" s="8">
        <f>IF(C126="","",IF(ISNUMBER(MATCH(C126,Insumos!$A:$A,0)),"insumo",IF(ISNUMBER(MATCH(C126,Preparos!$A:$A,0)),"preparo",IF(ISNUMBER(MATCH(C126,Fichas!$A:$A,0)),"ficha",""))))</f>
      </c>
      <c r="C126" s="7"/>
      <c r="D126" s="7"/>
      <c r="E126" s="8">
        <f>IF(C126="","",IFERROR(VLOOKUP(C126,Insumos!$A:$I,9,FALSE),IFERROR(VLOOKUP(C126,Preparos!$A:$D,4,FALSE),IFERROR(IF(ISNUMBER(MATCH(C126,Fichas!$A:$A,0)),"un",""),""))))</f>
      </c>
      <c r="F126" s="8">
        <f>IF(C126="","",IFERROR(VLOOKUP(C126,Insumos!$A:$G,7,FALSE),100))</f>
      </c>
      <c r="G126" s="9">
        <f>IF(C126="","",IFERROR(VLOOKUP(C126,Insumos!$A:$J,10,FALSE),IFERROR(VLOOKUP(C126,Preparos!$A:$F,6,FALSE),IFERROR(VLOOKUP(C126,Fichas!$A:$D,4,FALSE),0))))</f>
      </c>
      <c r="H126" s="10">
        <f>IF(OR(D126="",G126="",F126=0),"",D126*G126*(100/F126))</f>
      </c>
      <c r="I126" s="5"/>
    </row>
    <row r="127" spans="1:9" x14ac:dyDescent="0.25">
      <c r="A127" s="7"/>
      <c r="B127" s="8">
        <f>IF(C127="","",IF(ISNUMBER(MATCH(C127,Insumos!$A:$A,0)),"insumo",IF(ISNUMBER(MATCH(C127,Preparos!$A:$A,0)),"preparo",IF(ISNUMBER(MATCH(C127,Fichas!$A:$A,0)),"ficha",""))))</f>
      </c>
      <c r="C127" s="7"/>
      <c r="D127" s="7"/>
      <c r="E127" s="8">
        <f>IF(C127="","",IFERROR(VLOOKUP(C127,Insumos!$A:$I,9,FALSE),IFERROR(VLOOKUP(C127,Preparos!$A:$D,4,FALSE),IFERROR(IF(ISNUMBER(MATCH(C127,Fichas!$A:$A,0)),"un",""),""))))</f>
      </c>
      <c r="F127" s="8">
        <f>IF(C127="","",IFERROR(VLOOKUP(C127,Insumos!$A:$G,7,FALSE),100))</f>
      </c>
      <c r="G127" s="9">
        <f>IF(C127="","",IFERROR(VLOOKUP(C127,Insumos!$A:$J,10,FALSE),IFERROR(VLOOKUP(C127,Preparos!$A:$F,6,FALSE),IFERROR(VLOOKUP(C127,Fichas!$A:$D,4,FALSE),0))))</f>
      </c>
      <c r="H127" s="10">
        <f>IF(OR(D127="",G127="",F127=0),"",D127*G127*(100/F127))</f>
      </c>
      <c r="I127" s="5"/>
    </row>
    <row r="128" spans="1:9" x14ac:dyDescent="0.25">
      <c r="A128" s="7"/>
      <c r="B128" s="8">
        <f>IF(C128="","",IF(ISNUMBER(MATCH(C128,Insumos!$A:$A,0)),"insumo",IF(ISNUMBER(MATCH(C128,Preparos!$A:$A,0)),"preparo",IF(ISNUMBER(MATCH(C128,Fichas!$A:$A,0)),"ficha",""))))</f>
      </c>
      <c r="C128" s="7"/>
      <c r="D128" s="7"/>
      <c r="E128" s="8">
        <f>IF(C128="","",IFERROR(VLOOKUP(C128,Insumos!$A:$I,9,FALSE),IFERROR(VLOOKUP(C128,Preparos!$A:$D,4,FALSE),IFERROR(IF(ISNUMBER(MATCH(C128,Fichas!$A:$A,0)),"un",""),""))))</f>
      </c>
      <c r="F128" s="8">
        <f>IF(C128="","",IFERROR(VLOOKUP(C128,Insumos!$A:$G,7,FALSE),100))</f>
      </c>
      <c r="G128" s="9">
        <f>IF(C128="","",IFERROR(VLOOKUP(C128,Insumos!$A:$J,10,FALSE),IFERROR(VLOOKUP(C128,Preparos!$A:$F,6,FALSE),IFERROR(VLOOKUP(C128,Fichas!$A:$D,4,FALSE),0))))</f>
      </c>
      <c r="H128" s="10">
        <f>IF(OR(D128="",G128="",F128=0),"",D128*G128*(100/F128))</f>
      </c>
      <c r="I128" s="5"/>
    </row>
    <row r="129" spans="1:9" x14ac:dyDescent="0.25">
      <c r="A129" s="7"/>
      <c r="B129" s="8">
        <f>IF(C129="","",IF(ISNUMBER(MATCH(C129,Insumos!$A:$A,0)),"insumo",IF(ISNUMBER(MATCH(C129,Preparos!$A:$A,0)),"preparo",IF(ISNUMBER(MATCH(C129,Fichas!$A:$A,0)),"ficha",""))))</f>
      </c>
      <c r="C129" s="7"/>
      <c r="D129" s="7"/>
      <c r="E129" s="8">
        <f>IF(C129="","",IFERROR(VLOOKUP(C129,Insumos!$A:$I,9,FALSE),IFERROR(VLOOKUP(C129,Preparos!$A:$D,4,FALSE),IFERROR(IF(ISNUMBER(MATCH(C129,Fichas!$A:$A,0)),"un",""),""))))</f>
      </c>
      <c r="F129" s="8">
        <f>IF(C129="","",IFERROR(VLOOKUP(C129,Insumos!$A:$G,7,FALSE),100))</f>
      </c>
      <c r="G129" s="9">
        <f>IF(C129="","",IFERROR(VLOOKUP(C129,Insumos!$A:$J,10,FALSE),IFERROR(VLOOKUP(C129,Preparos!$A:$F,6,FALSE),IFERROR(VLOOKUP(C129,Fichas!$A:$D,4,FALSE),0))))</f>
      </c>
      <c r="H129" s="10">
        <f>IF(OR(D129="",G129="",F129=0),"",D129*G129*(100/F129))</f>
      </c>
      <c r="I129" s="5"/>
    </row>
    <row r="130" spans="1:9" x14ac:dyDescent="0.25">
      <c r="A130" s="7"/>
      <c r="B130" s="8">
        <f>IF(C130="","",IF(ISNUMBER(MATCH(C130,Insumos!$A:$A,0)),"insumo",IF(ISNUMBER(MATCH(C130,Preparos!$A:$A,0)),"preparo",IF(ISNUMBER(MATCH(C130,Fichas!$A:$A,0)),"ficha",""))))</f>
      </c>
      <c r="C130" s="7"/>
      <c r="D130" s="7"/>
      <c r="E130" s="8">
        <f>IF(C130="","",IFERROR(VLOOKUP(C130,Insumos!$A:$I,9,FALSE),IFERROR(VLOOKUP(C130,Preparos!$A:$D,4,FALSE),IFERROR(IF(ISNUMBER(MATCH(C130,Fichas!$A:$A,0)),"un",""),""))))</f>
      </c>
      <c r="F130" s="8">
        <f>IF(C130="","",IFERROR(VLOOKUP(C130,Insumos!$A:$G,7,FALSE),100))</f>
      </c>
      <c r="G130" s="9">
        <f>IF(C130="","",IFERROR(VLOOKUP(C130,Insumos!$A:$J,10,FALSE),IFERROR(VLOOKUP(C130,Preparos!$A:$F,6,FALSE),IFERROR(VLOOKUP(C130,Fichas!$A:$D,4,FALSE),0))))</f>
      </c>
      <c r="H130" s="10">
        <f>IF(OR(D130="",G130="",F130=0),"",D130*G130*(100/F130))</f>
      </c>
      <c r="I130" s="5"/>
    </row>
    <row r="131" spans="1:9" x14ac:dyDescent="0.25">
      <c r="A131" s="7"/>
      <c r="B131" s="8">
        <f>IF(C131="","",IF(ISNUMBER(MATCH(C131,Insumos!$A:$A,0)),"insumo",IF(ISNUMBER(MATCH(C131,Preparos!$A:$A,0)),"preparo",IF(ISNUMBER(MATCH(C131,Fichas!$A:$A,0)),"ficha",""))))</f>
      </c>
      <c r="C131" s="7"/>
      <c r="D131" s="7"/>
      <c r="E131" s="8">
        <f>IF(C131="","",IFERROR(VLOOKUP(C131,Insumos!$A:$I,9,FALSE),IFERROR(VLOOKUP(C131,Preparos!$A:$D,4,FALSE),IFERROR(IF(ISNUMBER(MATCH(C131,Fichas!$A:$A,0)),"un",""),""))))</f>
      </c>
      <c r="F131" s="8">
        <f>IF(C131="","",IFERROR(VLOOKUP(C131,Insumos!$A:$G,7,FALSE),100))</f>
      </c>
      <c r="G131" s="9">
        <f>IF(C131="","",IFERROR(VLOOKUP(C131,Insumos!$A:$J,10,FALSE),IFERROR(VLOOKUP(C131,Preparos!$A:$F,6,FALSE),IFERROR(VLOOKUP(C131,Fichas!$A:$D,4,FALSE),0))))</f>
      </c>
      <c r="H131" s="10">
        <f>IF(OR(D131="",G131="",F131=0),"",D131*G131*(100/F131))</f>
      </c>
      <c r="I131" s="5"/>
    </row>
    <row r="132" spans="1:9" x14ac:dyDescent="0.25">
      <c r="A132" s="7"/>
      <c r="B132" s="8">
        <f>IF(C132="","",IF(ISNUMBER(MATCH(C132,Insumos!$A:$A,0)),"insumo",IF(ISNUMBER(MATCH(C132,Preparos!$A:$A,0)),"preparo",IF(ISNUMBER(MATCH(C132,Fichas!$A:$A,0)),"ficha",""))))</f>
      </c>
      <c r="C132" s="7"/>
      <c r="D132" s="7"/>
      <c r="E132" s="8">
        <f>IF(C132="","",IFERROR(VLOOKUP(C132,Insumos!$A:$I,9,FALSE),IFERROR(VLOOKUP(C132,Preparos!$A:$D,4,FALSE),IFERROR(IF(ISNUMBER(MATCH(C132,Fichas!$A:$A,0)),"un",""),""))))</f>
      </c>
      <c r="F132" s="8">
        <f>IF(C132="","",IFERROR(VLOOKUP(C132,Insumos!$A:$G,7,FALSE),100))</f>
      </c>
      <c r="G132" s="9">
        <f>IF(C132="","",IFERROR(VLOOKUP(C132,Insumos!$A:$J,10,FALSE),IFERROR(VLOOKUP(C132,Preparos!$A:$F,6,FALSE),IFERROR(VLOOKUP(C132,Fichas!$A:$D,4,FALSE),0))))</f>
      </c>
      <c r="H132" s="10">
        <f>IF(OR(D132="",G132="",F132=0),"",D132*G132*(100/F132))</f>
      </c>
      <c r="I132" s="5"/>
    </row>
    <row r="133" spans="1:9" x14ac:dyDescent="0.25">
      <c r="A133" s="7"/>
      <c r="B133" s="8">
        <f>IF(C133="","",IF(ISNUMBER(MATCH(C133,Insumos!$A:$A,0)),"insumo",IF(ISNUMBER(MATCH(C133,Preparos!$A:$A,0)),"preparo",IF(ISNUMBER(MATCH(C133,Fichas!$A:$A,0)),"ficha",""))))</f>
      </c>
      <c r="C133" s="7"/>
      <c r="D133" s="7"/>
      <c r="E133" s="8">
        <f>IF(C133="","",IFERROR(VLOOKUP(C133,Insumos!$A:$I,9,FALSE),IFERROR(VLOOKUP(C133,Preparos!$A:$D,4,FALSE),IFERROR(IF(ISNUMBER(MATCH(C133,Fichas!$A:$A,0)),"un",""),""))))</f>
      </c>
      <c r="F133" s="8">
        <f>IF(C133="","",IFERROR(VLOOKUP(C133,Insumos!$A:$G,7,FALSE),100))</f>
      </c>
      <c r="G133" s="9">
        <f>IF(C133="","",IFERROR(VLOOKUP(C133,Insumos!$A:$J,10,FALSE),IFERROR(VLOOKUP(C133,Preparos!$A:$F,6,FALSE),IFERROR(VLOOKUP(C133,Fichas!$A:$D,4,FALSE),0))))</f>
      </c>
      <c r="H133" s="10">
        <f>IF(OR(D133="",G133="",F133=0),"",D133*G133*(100/F133))</f>
      </c>
      <c r="I133" s="5"/>
    </row>
    <row r="134" spans="1:9" x14ac:dyDescent="0.25">
      <c r="A134" s="7"/>
      <c r="B134" s="8">
        <f>IF(C134="","",IF(ISNUMBER(MATCH(C134,Insumos!$A:$A,0)),"insumo",IF(ISNUMBER(MATCH(C134,Preparos!$A:$A,0)),"preparo",IF(ISNUMBER(MATCH(C134,Fichas!$A:$A,0)),"ficha",""))))</f>
      </c>
      <c r="C134" s="7"/>
      <c r="D134" s="7"/>
      <c r="E134" s="8">
        <f>IF(C134="","",IFERROR(VLOOKUP(C134,Insumos!$A:$I,9,FALSE),IFERROR(VLOOKUP(C134,Preparos!$A:$D,4,FALSE),IFERROR(IF(ISNUMBER(MATCH(C134,Fichas!$A:$A,0)),"un",""),""))))</f>
      </c>
      <c r="F134" s="8">
        <f>IF(C134="","",IFERROR(VLOOKUP(C134,Insumos!$A:$G,7,FALSE),100))</f>
      </c>
      <c r="G134" s="9">
        <f>IF(C134="","",IFERROR(VLOOKUP(C134,Insumos!$A:$J,10,FALSE),IFERROR(VLOOKUP(C134,Preparos!$A:$F,6,FALSE),IFERROR(VLOOKUP(C134,Fichas!$A:$D,4,FALSE),0))))</f>
      </c>
      <c r="H134" s="10">
        <f>IF(OR(D134="",G134="",F134=0),"",D134*G134*(100/F134))</f>
      </c>
      <c r="I134" s="5"/>
    </row>
    <row r="135" spans="1:9" x14ac:dyDescent="0.25">
      <c r="A135" s="7"/>
      <c r="B135" s="8">
        <f>IF(C135="","",IF(ISNUMBER(MATCH(C135,Insumos!$A:$A,0)),"insumo",IF(ISNUMBER(MATCH(C135,Preparos!$A:$A,0)),"preparo",IF(ISNUMBER(MATCH(C135,Fichas!$A:$A,0)),"ficha",""))))</f>
      </c>
      <c r="C135" s="7"/>
      <c r="D135" s="7"/>
      <c r="E135" s="8">
        <f>IF(C135="","",IFERROR(VLOOKUP(C135,Insumos!$A:$I,9,FALSE),IFERROR(VLOOKUP(C135,Preparos!$A:$D,4,FALSE),IFERROR(IF(ISNUMBER(MATCH(C135,Fichas!$A:$A,0)),"un",""),""))))</f>
      </c>
      <c r="F135" s="8">
        <f>IF(C135="","",IFERROR(VLOOKUP(C135,Insumos!$A:$G,7,FALSE),100))</f>
      </c>
      <c r="G135" s="9">
        <f>IF(C135="","",IFERROR(VLOOKUP(C135,Insumos!$A:$J,10,FALSE),IFERROR(VLOOKUP(C135,Preparos!$A:$F,6,FALSE),IFERROR(VLOOKUP(C135,Fichas!$A:$D,4,FALSE),0))))</f>
      </c>
      <c r="H135" s="10">
        <f>IF(OR(D135="",G135="",F135=0),"",D135*G135*(100/F135))</f>
      </c>
      <c r="I135" s="5"/>
    </row>
    <row r="136" spans="1:9" x14ac:dyDescent="0.25">
      <c r="A136" s="7"/>
      <c r="B136" s="8">
        <f>IF(C136="","",IF(ISNUMBER(MATCH(C136,Insumos!$A:$A,0)),"insumo",IF(ISNUMBER(MATCH(C136,Preparos!$A:$A,0)),"preparo",IF(ISNUMBER(MATCH(C136,Fichas!$A:$A,0)),"ficha",""))))</f>
      </c>
      <c r="C136" s="7"/>
      <c r="D136" s="7"/>
      <c r="E136" s="8">
        <f>IF(C136="","",IFERROR(VLOOKUP(C136,Insumos!$A:$I,9,FALSE),IFERROR(VLOOKUP(C136,Preparos!$A:$D,4,FALSE),IFERROR(IF(ISNUMBER(MATCH(C136,Fichas!$A:$A,0)),"un",""),""))))</f>
      </c>
      <c r="F136" s="8">
        <f>IF(C136="","",IFERROR(VLOOKUP(C136,Insumos!$A:$G,7,FALSE),100))</f>
      </c>
      <c r="G136" s="9">
        <f>IF(C136="","",IFERROR(VLOOKUP(C136,Insumos!$A:$J,10,FALSE),IFERROR(VLOOKUP(C136,Preparos!$A:$F,6,FALSE),IFERROR(VLOOKUP(C136,Fichas!$A:$D,4,FALSE),0))))</f>
      </c>
      <c r="H136" s="10">
        <f>IF(OR(D136="",G136="",F136=0),"",D136*G136*(100/F136))</f>
      </c>
      <c r="I136" s="5"/>
    </row>
    <row r="137" spans="1:9" x14ac:dyDescent="0.25">
      <c r="A137" s="7"/>
      <c r="B137" s="8">
        <f>IF(C137="","",IF(ISNUMBER(MATCH(C137,Insumos!$A:$A,0)),"insumo",IF(ISNUMBER(MATCH(C137,Preparos!$A:$A,0)),"preparo",IF(ISNUMBER(MATCH(C137,Fichas!$A:$A,0)),"ficha",""))))</f>
      </c>
      <c r="C137" s="7"/>
      <c r="D137" s="7"/>
      <c r="E137" s="8">
        <f>IF(C137="","",IFERROR(VLOOKUP(C137,Insumos!$A:$I,9,FALSE),IFERROR(VLOOKUP(C137,Preparos!$A:$D,4,FALSE),IFERROR(IF(ISNUMBER(MATCH(C137,Fichas!$A:$A,0)),"un",""),""))))</f>
      </c>
      <c r="F137" s="8">
        <f>IF(C137="","",IFERROR(VLOOKUP(C137,Insumos!$A:$G,7,FALSE),100))</f>
      </c>
      <c r="G137" s="9">
        <f>IF(C137="","",IFERROR(VLOOKUP(C137,Insumos!$A:$J,10,FALSE),IFERROR(VLOOKUP(C137,Preparos!$A:$F,6,FALSE),IFERROR(VLOOKUP(C137,Fichas!$A:$D,4,FALSE),0))))</f>
      </c>
      <c r="H137" s="10">
        <f>IF(OR(D137="",G137="",F137=0),"",D137*G137*(100/F137))</f>
      </c>
      <c r="I137" s="5"/>
    </row>
    <row r="138" spans="1:9" x14ac:dyDescent="0.25">
      <c r="A138" s="7"/>
      <c r="B138" s="8">
        <f>IF(C138="","",IF(ISNUMBER(MATCH(C138,Insumos!$A:$A,0)),"insumo",IF(ISNUMBER(MATCH(C138,Preparos!$A:$A,0)),"preparo",IF(ISNUMBER(MATCH(C138,Fichas!$A:$A,0)),"ficha",""))))</f>
      </c>
      <c r="C138" s="7"/>
      <c r="D138" s="7"/>
      <c r="E138" s="8">
        <f>IF(C138="","",IFERROR(VLOOKUP(C138,Insumos!$A:$I,9,FALSE),IFERROR(VLOOKUP(C138,Preparos!$A:$D,4,FALSE),IFERROR(IF(ISNUMBER(MATCH(C138,Fichas!$A:$A,0)),"un",""),""))))</f>
      </c>
      <c r="F138" s="8">
        <f>IF(C138="","",IFERROR(VLOOKUP(C138,Insumos!$A:$G,7,FALSE),100))</f>
      </c>
      <c r="G138" s="9">
        <f>IF(C138="","",IFERROR(VLOOKUP(C138,Insumos!$A:$J,10,FALSE),IFERROR(VLOOKUP(C138,Preparos!$A:$F,6,FALSE),IFERROR(VLOOKUP(C138,Fichas!$A:$D,4,FALSE),0))))</f>
      </c>
      <c r="H138" s="10">
        <f>IF(OR(D138="",G138="",F138=0),"",D138*G138*(100/F138))</f>
      </c>
      <c r="I138" s="5"/>
    </row>
    <row r="139" spans="1:9" x14ac:dyDescent="0.25">
      <c r="A139" s="7"/>
      <c r="B139" s="8">
        <f>IF(C139="","",IF(ISNUMBER(MATCH(C139,Insumos!$A:$A,0)),"insumo",IF(ISNUMBER(MATCH(C139,Preparos!$A:$A,0)),"preparo",IF(ISNUMBER(MATCH(C139,Fichas!$A:$A,0)),"ficha",""))))</f>
      </c>
      <c r="C139" s="7"/>
      <c r="D139" s="7"/>
      <c r="E139" s="8">
        <f>IF(C139="","",IFERROR(VLOOKUP(C139,Insumos!$A:$I,9,FALSE),IFERROR(VLOOKUP(C139,Preparos!$A:$D,4,FALSE),IFERROR(IF(ISNUMBER(MATCH(C139,Fichas!$A:$A,0)),"un",""),""))))</f>
      </c>
      <c r="F139" s="8">
        <f>IF(C139="","",IFERROR(VLOOKUP(C139,Insumos!$A:$G,7,FALSE),100))</f>
      </c>
      <c r="G139" s="9">
        <f>IF(C139="","",IFERROR(VLOOKUP(C139,Insumos!$A:$J,10,FALSE),IFERROR(VLOOKUP(C139,Preparos!$A:$F,6,FALSE),IFERROR(VLOOKUP(C139,Fichas!$A:$D,4,FALSE),0))))</f>
      </c>
      <c r="H139" s="10">
        <f>IF(OR(D139="",G139="",F139=0),"",D139*G139*(100/F139))</f>
      </c>
      <c r="I139" s="5"/>
    </row>
    <row r="140" spans="1:9" x14ac:dyDescent="0.25">
      <c r="A140" s="7"/>
      <c r="B140" s="8">
        <f>IF(C140="","",IF(ISNUMBER(MATCH(C140,Insumos!$A:$A,0)),"insumo",IF(ISNUMBER(MATCH(C140,Preparos!$A:$A,0)),"preparo",IF(ISNUMBER(MATCH(C140,Fichas!$A:$A,0)),"ficha",""))))</f>
      </c>
      <c r="C140" s="7"/>
      <c r="D140" s="7"/>
      <c r="E140" s="8">
        <f>IF(C140="","",IFERROR(VLOOKUP(C140,Insumos!$A:$I,9,FALSE),IFERROR(VLOOKUP(C140,Preparos!$A:$D,4,FALSE),IFERROR(IF(ISNUMBER(MATCH(C140,Fichas!$A:$A,0)),"un",""),""))))</f>
      </c>
      <c r="F140" s="8">
        <f>IF(C140="","",IFERROR(VLOOKUP(C140,Insumos!$A:$G,7,FALSE),100))</f>
      </c>
      <c r="G140" s="9">
        <f>IF(C140="","",IFERROR(VLOOKUP(C140,Insumos!$A:$J,10,FALSE),IFERROR(VLOOKUP(C140,Preparos!$A:$F,6,FALSE),IFERROR(VLOOKUP(C140,Fichas!$A:$D,4,FALSE),0))))</f>
      </c>
      <c r="H140" s="10">
        <f>IF(OR(D140="",G140="",F140=0),"",D140*G140*(100/F140))</f>
      </c>
      <c r="I140" s="5"/>
    </row>
    <row r="141" spans="1:9" x14ac:dyDescent="0.25">
      <c r="A141" s="7"/>
      <c r="B141" s="8">
        <f>IF(C141="","",IF(ISNUMBER(MATCH(C141,Insumos!$A:$A,0)),"insumo",IF(ISNUMBER(MATCH(C141,Preparos!$A:$A,0)),"preparo",IF(ISNUMBER(MATCH(C141,Fichas!$A:$A,0)),"ficha",""))))</f>
      </c>
      <c r="C141" s="7"/>
      <c r="D141" s="7"/>
      <c r="E141" s="8">
        <f>IF(C141="","",IFERROR(VLOOKUP(C141,Insumos!$A:$I,9,FALSE),IFERROR(VLOOKUP(C141,Preparos!$A:$D,4,FALSE),IFERROR(IF(ISNUMBER(MATCH(C141,Fichas!$A:$A,0)),"un",""),""))))</f>
      </c>
      <c r="F141" s="8">
        <f>IF(C141="","",IFERROR(VLOOKUP(C141,Insumos!$A:$G,7,FALSE),100))</f>
      </c>
      <c r="G141" s="9">
        <f>IF(C141="","",IFERROR(VLOOKUP(C141,Insumos!$A:$J,10,FALSE),IFERROR(VLOOKUP(C141,Preparos!$A:$F,6,FALSE),IFERROR(VLOOKUP(C141,Fichas!$A:$D,4,FALSE),0))))</f>
      </c>
      <c r="H141" s="10">
        <f>IF(OR(D141="",G141="",F141=0),"",D141*G141*(100/F141))</f>
      </c>
      <c r="I141" s="5"/>
    </row>
    <row r="142" spans="1:9" x14ac:dyDescent="0.25">
      <c r="A142" s="7"/>
      <c r="B142" s="8">
        <f>IF(C142="","",IF(ISNUMBER(MATCH(C142,Insumos!$A:$A,0)),"insumo",IF(ISNUMBER(MATCH(C142,Preparos!$A:$A,0)),"preparo",IF(ISNUMBER(MATCH(C142,Fichas!$A:$A,0)),"ficha",""))))</f>
      </c>
      <c r="C142" s="7"/>
      <c r="D142" s="7"/>
      <c r="E142" s="8">
        <f>IF(C142="","",IFERROR(VLOOKUP(C142,Insumos!$A:$I,9,FALSE),IFERROR(VLOOKUP(C142,Preparos!$A:$D,4,FALSE),IFERROR(IF(ISNUMBER(MATCH(C142,Fichas!$A:$A,0)),"un",""),""))))</f>
      </c>
      <c r="F142" s="8">
        <f>IF(C142="","",IFERROR(VLOOKUP(C142,Insumos!$A:$G,7,FALSE),100))</f>
      </c>
      <c r="G142" s="9">
        <f>IF(C142="","",IFERROR(VLOOKUP(C142,Insumos!$A:$J,10,FALSE),IFERROR(VLOOKUP(C142,Preparos!$A:$F,6,FALSE),IFERROR(VLOOKUP(C142,Fichas!$A:$D,4,FALSE),0))))</f>
      </c>
      <c r="H142" s="10">
        <f>IF(OR(D142="",G142="",F142=0),"",D142*G142*(100/F142))</f>
      </c>
      <c r="I142" s="5"/>
    </row>
    <row r="143" spans="1:9" x14ac:dyDescent="0.25">
      <c r="A143" s="7"/>
      <c r="B143" s="8">
        <f>IF(C143="","",IF(ISNUMBER(MATCH(C143,Insumos!$A:$A,0)),"insumo",IF(ISNUMBER(MATCH(C143,Preparos!$A:$A,0)),"preparo",IF(ISNUMBER(MATCH(C143,Fichas!$A:$A,0)),"ficha",""))))</f>
      </c>
      <c r="C143" s="7"/>
      <c r="D143" s="7"/>
      <c r="E143" s="8">
        <f>IF(C143="","",IFERROR(VLOOKUP(C143,Insumos!$A:$I,9,FALSE),IFERROR(VLOOKUP(C143,Preparos!$A:$D,4,FALSE),IFERROR(IF(ISNUMBER(MATCH(C143,Fichas!$A:$A,0)),"un",""),""))))</f>
      </c>
      <c r="F143" s="8">
        <f>IF(C143="","",IFERROR(VLOOKUP(C143,Insumos!$A:$G,7,FALSE),100))</f>
      </c>
      <c r="G143" s="9">
        <f>IF(C143="","",IFERROR(VLOOKUP(C143,Insumos!$A:$J,10,FALSE),IFERROR(VLOOKUP(C143,Preparos!$A:$F,6,FALSE),IFERROR(VLOOKUP(C143,Fichas!$A:$D,4,FALSE),0))))</f>
      </c>
      <c r="H143" s="10">
        <f>IF(OR(D143="",G143="",F143=0),"",D143*G143*(100/F143))</f>
      </c>
      <c r="I143" s="5"/>
    </row>
    <row r="144" spans="1:9" x14ac:dyDescent="0.25">
      <c r="A144" s="7"/>
      <c r="B144" s="8">
        <f>IF(C144="","",IF(ISNUMBER(MATCH(C144,Insumos!$A:$A,0)),"insumo",IF(ISNUMBER(MATCH(C144,Preparos!$A:$A,0)),"preparo",IF(ISNUMBER(MATCH(C144,Fichas!$A:$A,0)),"ficha",""))))</f>
      </c>
      <c r="C144" s="7"/>
      <c r="D144" s="7"/>
      <c r="E144" s="8">
        <f>IF(C144="","",IFERROR(VLOOKUP(C144,Insumos!$A:$I,9,FALSE),IFERROR(VLOOKUP(C144,Preparos!$A:$D,4,FALSE),IFERROR(IF(ISNUMBER(MATCH(C144,Fichas!$A:$A,0)),"un",""),""))))</f>
      </c>
      <c r="F144" s="8">
        <f>IF(C144="","",IFERROR(VLOOKUP(C144,Insumos!$A:$G,7,FALSE),100))</f>
      </c>
      <c r="G144" s="9">
        <f>IF(C144="","",IFERROR(VLOOKUP(C144,Insumos!$A:$J,10,FALSE),IFERROR(VLOOKUP(C144,Preparos!$A:$F,6,FALSE),IFERROR(VLOOKUP(C144,Fichas!$A:$D,4,FALSE),0))))</f>
      </c>
      <c r="H144" s="10">
        <f>IF(OR(D144="",G144="",F144=0),"",D144*G144*(100/F144))</f>
      </c>
      <c r="I144" s="5"/>
    </row>
    <row r="145" spans="1:9" x14ac:dyDescent="0.25">
      <c r="A145" s="7"/>
      <c r="B145" s="8">
        <f>IF(C145="","",IF(ISNUMBER(MATCH(C145,Insumos!$A:$A,0)),"insumo",IF(ISNUMBER(MATCH(C145,Preparos!$A:$A,0)),"preparo",IF(ISNUMBER(MATCH(C145,Fichas!$A:$A,0)),"ficha",""))))</f>
      </c>
      <c r="C145" s="7"/>
      <c r="D145" s="7"/>
      <c r="E145" s="8">
        <f>IF(C145="","",IFERROR(VLOOKUP(C145,Insumos!$A:$I,9,FALSE),IFERROR(VLOOKUP(C145,Preparos!$A:$D,4,FALSE),IFERROR(IF(ISNUMBER(MATCH(C145,Fichas!$A:$A,0)),"un",""),""))))</f>
      </c>
      <c r="F145" s="8">
        <f>IF(C145="","",IFERROR(VLOOKUP(C145,Insumos!$A:$G,7,FALSE),100))</f>
      </c>
      <c r="G145" s="9">
        <f>IF(C145="","",IFERROR(VLOOKUP(C145,Insumos!$A:$J,10,FALSE),IFERROR(VLOOKUP(C145,Preparos!$A:$F,6,FALSE),IFERROR(VLOOKUP(C145,Fichas!$A:$D,4,FALSE),0))))</f>
      </c>
      <c r="H145" s="10">
        <f>IF(OR(D145="",G145="",F145=0),"",D145*G145*(100/F145))</f>
      </c>
      <c r="I145" s="5"/>
    </row>
    <row r="146" spans="1:9" x14ac:dyDescent="0.25">
      <c r="A146" s="7"/>
      <c r="B146" s="8">
        <f>IF(C146="","",IF(ISNUMBER(MATCH(C146,Insumos!$A:$A,0)),"insumo",IF(ISNUMBER(MATCH(C146,Preparos!$A:$A,0)),"preparo",IF(ISNUMBER(MATCH(C146,Fichas!$A:$A,0)),"ficha",""))))</f>
      </c>
      <c r="C146" s="7"/>
      <c r="D146" s="7"/>
      <c r="E146" s="8">
        <f>IF(C146="","",IFERROR(VLOOKUP(C146,Insumos!$A:$I,9,FALSE),IFERROR(VLOOKUP(C146,Preparos!$A:$D,4,FALSE),IFERROR(IF(ISNUMBER(MATCH(C146,Fichas!$A:$A,0)),"un",""),""))))</f>
      </c>
      <c r="F146" s="8">
        <f>IF(C146="","",IFERROR(VLOOKUP(C146,Insumos!$A:$G,7,FALSE),100))</f>
      </c>
      <c r="G146" s="9">
        <f>IF(C146="","",IFERROR(VLOOKUP(C146,Insumos!$A:$J,10,FALSE),IFERROR(VLOOKUP(C146,Preparos!$A:$F,6,FALSE),IFERROR(VLOOKUP(C146,Fichas!$A:$D,4,FALSE),0))))</f>
      </c>
      <c r="H146" s="10">
        <f>IF(OR(D146="",G146="",F146=0),"",D146*G146*(100/F146))</f>
      </c>
      <c r="I146" s="5"/>
    </row>
    <row r="147" spans="1:9" x14ac:dyDescent="0.25">
      <c r="A147" s="7"/>
      <c r="B147" s="8">
        <f>IF(C147="","",IF(ISNUMBER(MATCH(C147,Insumos!$A:$A,0)),"insumo",IF(ISNUMBER(MATCH(C147,Preparos!$A:$A,0)),"preparo",IF(ISNUMBER(MATCH(C147,Fichas!$A:$A,0)),"ficha",""))))</f>
      </c>
      <c r="C147" s="7"/>
      <c r="D147" s="7"/>
      <c r="E147" s="8">
        <f>IF(C147="","",IFERROR(VLOOKUP(C147,Insumos!$A:$I,9,FALSE),IFERROR(VLOOKUP(C147,Preparos!$A:$D,4,FALSE),IFERROR(IF(ISNUMBER(MATCH(C147,Fichas!$A:$A,0)),"un",""),""))))</f>
      </c>
      <c r="F147" s="8">
        <f>IF(C147="","",IFERROR(VLOOKUP(C147,Insumos!$A:$G,7,FALSE),100))</f>
      </c>
      <c r="G147" s="9">
        <f>IF(C147="","",IFERROR(VLOOKUP(C147,Insumos!$A:$J,10,FALSE),IFERROR(VLOOKUP(C147,Preparos!$A:$F,6,FALSE),IFERROR(VLOOKUP(C147,Fichas!$A:$D,4,FALSE),0))))</f>
      </c>
      <c r="H147" s="10">
        <f>IF(OR(D147="",G147="",F147=0),"",D147*G147*(100/F147))</f>
      </c>
      <c r="I147" s="5"/>
    </row>
    <row r="148" spans="1:9" x14ac:dyDescent="0.25">
      <c r="A148" s="7"/>
      <c r="B148" s="8">
        <f>IF(C148="","",IF(ISNUMBER(MATCH(C148,Insumos!$A:$A,0)),"insumo",IF(ISNUMBER(MATCH(C148,Preparos!$A:$A,0)),"preparo",IF(ISNUMBER(MATCH(C148,Fichas!$A:$A,0)),"ficha",""))))</f>
      </c>
      <c r="C148" s="7"/>
      <c r="D148" s="7"/>
      <c r="E148" s="8">
        <f>IF(C148="","",IFERROR(VLOOKUP(C148,Insumos!$A:$I,9,FALSE),IFERROR(VLOOKUP(C148,Preparos!$A:$D,4,FALSE),IFERROR(IF(ISNUMBER(MATCH(C148,Fichas!$A:$A,0)),"un",""),""))))</f>
      </c>
      <c r="F148" s="8">
        <f>IF(C148="","",IFERROR(VLOOKUP(C148,Insumos!$A:$G,7,FALSE),100))</f>
      </c>
      <c r="G148" s="9">
        <f>IF(C148="","",IFERROR(VLOOKUP(C148,Insumos!$A:$J,10,FALSE),IFERROR(VLOOKUP(C148,Preparos!$A:$F,6,FALSE),IFERROR(VLOOKUP(C148,Fichas!$A:$D,4,FALSE),0))))</f>
      </c>
      <c r="H148" s="10">
        <f>IF(OR(D148="",G148="",F148=0),"",D148*G148*(100/F148))</f>
      </c>
      <c r="I148" s="5"/>
    </row>
    <row r="149" spans="1:9" x14ac:dyDescent="0.25">
      <c r="A149" s="7"/>
      <c r="B149" s="8">
        <f>IF(C149="","",IF(ISNUMBER(MATCH(C149,Insumos!$A:$A,0)),"insumo",IF(ISNUMBER(MATCH(C149,Preparos!$A:$A,0)),"preparo",IF(ISNUMBER(MATCH(C149,Fichas!$A:$A,0)),"ficha",""))))</f>
      </c>
      <c r="C149" s="7"/>
      <c r="D149" s="7"/>
      <c r="E149" s="8">
        <f>IF(C149="","",IFERROR(VLOOKUP(C149,Insumos!$A:$I,9,FALSE),IFERROR(VLOOKUP(C149,Preparos!$A:$D,4,FALSE),IFERROR(IF(ISNUMBER(MATCH(C149,Fichas!$A:$A,0)),"un",""),""))))</f>
      </c>
      <c r="F149" s="8">
        <f>IF(C149="","",IFERROR(VLOOKUP(C149,Insumos!$A:$G,7,FALSE),100))</f>
      </c>
      <c r="G149" s="9">
        <f>IF(C149="","",IFERROR(VLOOKUP(C149,Insumos!$A:$J,10,FALSE),IFERROR(VLOOKUP(C149,Preparos!$A:$F,6,FALSE),IFERROR(VLOOKUP(C149,Fichas!$A:$D,4,FALSE),0))))</f>
      </c>
      <c r="H149" s="10">
        <f>IF(OR(D149="",G149="",F149=0),"",D149*G149*(100/F149))</f>
      </c>
      <c r="I149" s="5"/>
    </row>
    <row r="150" spans="1:9" x14ac:dyDescent="0.25">
      <c r="A150" s="7"/>
      <c r="B150" s="8">
        <f>IF(C150="","",IF(ISNUMBER(MATCH(C150,Insumos!$A:$A,0)),"insumo",IF(ISNUMBER(MATCH(C150,Preparos!$A:$A,0)),"preparo",IF(ISNUMBER(MATCH(C150,Fichas!$A:$A,0)),"ficha",""))))</f>
      </c>
      <c r="C150" s="7"/>
      <c r="D150" s="7"/>
      <c r="E150" s="8">
        <f>IF(C150="","",IFERROR(VLOOKUP(C150,Insumos!$A:$I,9,FALSE),IFERROR(VLOOKUP(C150,Preparos!$A:$D,4,FALSE),IFERROR(IF(ISNUMBER(MATCH(C150,Fichas!$A:$A,0)),"un",""),""))))</f>
      </c>
      <c r="F150" s="8">
        <f>IF(C150="","",IFERROR(VLOOKUP(C150,Insumos!$A:$G,7,FALSE),100))</f>
      </c>
      <c r="G150" s="9">
        <f>IF(C150="","",IFERROR(VLOOKUP(C150,Insumos!$A:$J,10,FALSE),IFERROR(VLOOKUP(C150,Preparos!$A:$F,6,FALSE),IFERROR(VLOOKUP(C150,Fichas!$A:$D,4,FALSE),0))))</f>
      </c>
      <c r="H150" s="10">
        <f>IF(OR(D150="",G150="",F150=0),"",D150*G150*(100/F150))</f>
      </c>
      <c r="I150" s="5"/>
    </row>
    <row r="151" spans="1:9" x14ac:dyDescent="0.25">
      <c r="A151" s="7"/>
      <c r="B151" s="8">
        <f>IF(C151="","",IF(ISNUMBER(MATCH(C151,Insumos!$A:$A,0)),"insumo",IF(ISNUMBER(MATCH(C151,Preparos!$A:$A,0)),"preparo",IF(ISNUMBER(MATCH(C151,Fichas!$A:$A,0)),"ficha",""))))</f>
      </c>
      <c r="C151" s="7"/>
      <c r="D151" s="7"/>
      <c r="E151" s="8">
        <f>IF(C151="","",IFERROR(VLOOKUP(C151,Insumos!$A:$I,9,FALSE),IFERROR(VLOOKUP(C151,Preparos!$A:$D,4,FALSE),IFERROR(IF(ISNUMBER(MATCH(C151,Fichas!$A:$A,0)),"un",""),""))))</f>
      </c>
      <c r="F151" s="8">
        <f>IF(C151="","",IFERROR(VLOOKUP(C151,Insumos!$A:$G,7,FALSE),100))</f>
      </c>
      <c r="G151" s="9">
        <f>IF(C151="","",IFERROR(VLOOKUP(C151,Insumos!$A:$J,10,FALSE),IFERROR(VLOOKUP(C151,Preparos!$A:$F,6,FALSE),IFERROR(VLOOKUP(C151,Fichas!$A:$D,4,FALSE),0))))</f>
      </c>
      <c r="H151" s="10">
        <f>IF(OR(D151="",G151="",F151=0),"",D151*G151*(100/F151))</f>
      </c>
      <c r="I151" s="5"/>
    </row>
    <row r="152" spans="1:9" x14ac:dyDescent="0.25">
      <c r="A152" s="7"/>
      <c r="B152" s="8">
        <f>IF(C152="","",IF(ISNUMBER(MATCH(C152,Insumos!$A:$A,0)),"insumo",IF(ISNUMBER(MATCH(C152,Preparos!$A:$A,0)),"preparo",IF(ISNUMBER(MATCH(C152,Fichas!$A:$A,0)),"ficha",""))))</f>
      </c>
      <c r="C152" s="7"/>
      <c r="D152" s="7"/>
      <c r="E152" s="8">
        <f>IF(C152="","",IFERROR(VLOOKUP(C152,Insumos!$A:$I,9,FALSE),IFERROR(VLOOKUP(C152,Preparos!$A:$D,4,FALSE),IFERROR(IF(ISNUMBER(MATCH(C152,Fichas!$A:$A,0)),"un",""),""))))</f>
      </c>
      <c r="F152" s="8">
        <f>IF(C152="","",IFERROR(VLOOKUP(C152,Insumos!$A:$G,7,FALSE),100))</f>
      </c>
      <c r="G152" s="9">
        <f>IF(C152="","",IFERROR(VLOOKUP(C152,Insumos!$A:$J,10,FALSE),IFERROR(VLOOKUP(C152,Preparos!$A:$F,6,FALSE),IFERROR(VLOOKUP(C152,Fichas!$A:$D,4,FALSE),0))))</f>
      </c>
      <c r="H152" s="10">
        <f>IF(OR(D152="",G152="",F152=0),"",D152*G152*(100/F152))</f>
      </c>
      <c r="I152" s="5"/>
    </row>
    <row r="153" spans="1:9" x14ac:dyDescent="0.25">
      <c r="A153" s="7"/>
      <c r="B153" s="8">
        <f>IF(C153="","",IF(ISNUMBER(MATCH(C153,Insumos!$A:$A,0)),"insumo",IF(ISNUMBER(MATCH(C153,Preparos!$A:$A,0)),"preparo",IF(ISNUMBER(MATCH(C153,Fichas!$A:$A,0)),"ficha",""))))</f>
      </c>
      <c r="C153" s="7"/>
      <c r="D153" s="7"/>
      <c r="E153" s="8">
        <f>IF(C153="","",IFERROR(VLOOKUP(C153,Insumos!$A:$I,9,FALSE),IFERROR(VLOOKUP(C153,Preparos!$A:$D,4,FALSE),IFERROR(IF(ISNUMBER(MATCH(C153,Fichas!$A:$A,0)),"un",""),""))))</f>
      </c>
      <c r="F153" s="8">
        <f>IF(C153="","",IFERROR(VLOOKUP(C153,Insumos!$A:$G,7,FALSE),100))</f>
      </c>
      <c r="G153" s="9">
        <f>IF(C153="","",IFERROR(VLOOKUP(C153,Insumos!$A:$J,10,FALSE),IFERROR(VLOOKUP(C153,Preparos!$A:$F,6,FALSE),IFERROR(VLOOKUP(C153,Fichas!$A:$D,4,FALSE),0))))</f>
      </c>
      <c r="H153" s="10">
        <f>IF(OR(D153="",G153="",F153=0),"",D153*G153*(100/F153))</f>
      </c>
      <c r="I153" s="5"/>
    </row>
    <row r="154" spans="1:9" x14ac:dyDescent="0.25">
      <c r="A154" s="7"/>
      <c r="B154" s="8">
        <f>IF(C154="","",IF(ISNUMBER(MATCH(C154,Insumos!$A:$A,0)),"insumo",IF(ISNUMBER(MATCH(C154,Preparos!$A:$A,0)),"preparo",IF(ISNUMBER(MATCH(C154,Fichas!$A:$A,0)),"ficha",""))))</f>
      </c>
      <c r="C154" s="7"/>
      <c r="D154" s="7"/>
      <c r="E154" s="8">
        <f>IF(C154="","",IFERROR(VLOOKUP(C154,Insumos!$A:$I,9,FALSE),IFERROR(VLOOKUP(C154,Preparos!$A:$D,4,FALSE),IFERROR(IF(ISNUMBER(MATCH(C154,Fichas!$A:$A,0)),"un",""),""))))</f>
      </c>
      <c r="F154" s="8">
        <f>IF(C154="","",IFERROR(VLOOKUP(C154,Insumos!$A:$G,7,FALSE),100))</f>
      </c>
      <c r="G154" s="9">
        <f>IF(C154="","",IFERROR(VLOOKUP(C154,Insumos!$A:$J,10,FALSE),IFERROR(VLOOKUP(C154,Preparos!$A:$F,6,FALSE),IFERROR(VLOOKUP(C154,Fichas!$A:$D,4,FALSE),0))))</f>
      </c>
      <c r="H154" s="10">
        <f>IF(OR(D154="",G154="",F154=0),"",D154*G154*(100/F154))</f>
      </c>
      <c r="I154" s="5"/>
    </row>
    <row r="155" spans="1:9" x14ac:dyDescent="0.25">
      <c r="A155" s="7"/>
      <c r="B155" s="8">
        <f>IF(C155="","",IF(ISNUMBER(MATCH(C155,Insumos!$A:$A,0)),"insumo",IF(ISNUMBER(MATCH(C155,Preparos!$A:$A,0)),"preparo",IF(ISNUMBER(MATCH(C155,Fichas!$A:$A,0)),"ficha",""))))</f>
      </c>
      <c r="C155" s="7"/>
      <c r="D155" s="7"/>
      <c r="E155" s="8">
        <f>IF(C155="","",IFERROR(VLOOKUP(C155,Insumos!$A:$I,9,FALSE),IFERROR(VLOOKUP(C155,Preparos!$A:$D,4,FALSE),IFERROR(IF(ISNUMBER(MATCH(C155,Fichas!$A:$A,0)),"un",""),""))))</f>
      </c>
      <c r="F155" s="8">
        <f>IF(C155="","",IFERROR(VLOOKUP(C155,Insumos!$A:$G,7,FALSE),100))</f>
      </c>
      <c r="G155" s="9">
        <f>IF(C155="","",IFERROR(VLOOKUP(C155,Insumos!$A:$J,10,FALSE),IFERROR(VLOOKUP(C155,Preparos!$A:$F,6,FALSE),IFERROR(VLOOKUP(C155,Fichas!$A:$D,4,FALSE),0))))</f>
      </c>
      <c r="H155" s="10">
        <f>IF(OR(D155="",G155="",F155=0),"",D155*G155*(100/F155))</f>
      </c>
      <c r="I155" s="5"/>
    </row>
    <row r="156" spans="1:9" x14ac:dyDescent="0.25">
      <c r="A156" s="7"/>
      <c r="B156" s="8">
        <f>IF(C156="","",IF(ISNUMBER(MATCH(C156,Insumos!$A:$A,0)),"insumo",IF(ISNUMBER(MATCH(C156,Preparos!$A:$A,0)),"preparo",IF(ISNUMBER(MATCH(C156,Fichas!$A:$A,0)),"ficha",""))))</f>
      </c>
      <c r="C156" s="7"/>
      <c r="D156" s="7"/>
      <c r="E156" s="8">
        <f>IF(C156="","",IFERROR(VLOOKUP(C156,Insumos!$A:$I,9,FALSE),IFERROR(VLOOKUP(C156,Preparos!$A:$D,4,FALSE),IFERROR(IF(ISNUMBER(MATCH(C156,Fichas!$A:$A,0)),"un",""),""))))</f>
      </c>
      <c r="F156" s="8">
        <f>IF(C156="","",IFERROR(VLOOKUP(C156,Insumos!$A:$G,7,FALSE),100))</f>
      </c>
      <c r="G156" s="9">
        <f>IF(C156="","",IFERROR(VLOOKUP(C156,Insumos!$A:$J,10,FALSE),IFERROR(VLOOKUP(C156,Preparos!$A:$F,6,FALSE),IFERROR(VLOOKUP(C156,Fichas!$A:$D,4,FALSE),0))))</f>
      </c>
      <c r="H156" s="10">
        <f>IF(OR(D156="",G156="",F156=0),"",D156*G156*(100/F156))</f>
      </c>
      <c r="I156" s="5"/>
    </row>
    <row r="157" spans="1:9" x14ac:dyDescent="0.25">
      <c r="A157" s="7"/>
      <c r="B157" s="8">
        <f>IF(C157="","",IF(ISNUMBER(MATCH(C157,Insumos!$A:$A,0)),"insumo",IF(ISNUMBER(MATCH(C157,Preparos!$A:$A,0)),"preparo",IF(ISNUMBER(MATCH(C157,Fichas!$A:$A,0)),"ficha",""))))</f>
      </c>
      <c r="C157" s="7"/>
      <c r="D157" s="7"/>
      <c r="E157" s="8">
        <f>IF(C157="","",IFERROR(VLOOKUP(C157,Insumos!$A:$I,9,FALSE),IFERROR(VLOOKUP(C157,Preparos!$A:$D,4,FALSE),IFERROR(IF(ISNUMBER(MATCH(C157,Fichas!$A:$A,0)),"un",""),""))))</f>
      </c>
      <c r="F157" s="8">
        <f>IF(C157="","",IFERROR(VLOOKUP(C157,Insumos!$A:$G,7,FALSE),100))</f>
      </c>
      <c r="G157" s="9">
        <f>IF(C157="","",IFERROR(VLOOKUP(C157,Insumos!$A:$J,10,FALSE),IFERROR(VLOOKUP(C157,Preparos!$A:$F,6,FALSE),IFERROR(VLOOKUP(C157,Fichas!$A:$D,4,FALSE),0))))</f>
      </c>
      <c r="H157" s="10">
        <f>IF(OR(D157="",G157="",F157=0),"",D157*G157*(100/F157))</f>
      </c>
      <c r="I157" s="5"/>
    </row>
    <row r="158" spans="1:9" x14ac:dyDescent="0.25">
      <c r="A158" s="7"/>
      <c r="B158" s="8">
        <f>IF(C158="","",IF(ISNUMBER(MATCH(C158,Insumos!$A:$A,0)),"insumo",IF(ISNUMBER(MATCH(C158,Preparos!$A:$A,0)),"preparo",IF(ISNUMBER(MATCH(C158,Fichas!$A:$A,0)),"ficha",""))))</f>
      </c>
      <c r="C158" s="7"/>
      <c r="D158" s="7"/>
      <c r="E158" s="8">
        <f>IF(C158="","",IFERROR(VLOOKUP(C158,Insumos!$A:$I,9,FALSE),IFERROR(VLOOKUP(C158,Preparos!$A:$D,4,FALSE),IFERROR(IF(ISNUMBER(MATCH(C158,Fichas!$A:$A,0)),"un",""),""))))</f>
      </c>
      <c r="F158" s="8">
        <f>IF(C158="","",IFERROR(VLOOKUP(C158,Insumos!$A:$G,7,FALSE),100))</f>
      </c>
      <c r="G158" s="9">
        <f>IF(C158="","",IFERROR(VLOOKUP(C158,Insumos!$A:$J,10,FALSE),IFERROR(VLOOKUP(C158,Preparos!$A:$F,6,FALSE),IFERROR(VLOOKUP(C158,Fichas!$A:$D,4,FALSE),0))))</f>
      </c>
      <c r="H158" s="10">
        <f>IF(OR(D158="",G158="",F158=0),"",D158*G158*(100/F158))</f>
      </c>
      <c r="I158" s="5"/>
    </row>
    <row r="159" spans="1:9" x14ac:dyDescent="0.25">
      <c r="A159" s="7"/>
      <c r="B159" s="8">
        <f>IF(C159="","",IF(ISNUMBER(MATCH(C159,Insumos!$A:$A,0)),"insumo",IF(ISNUMBER(MATCH(C159,Preparos!$A:$A,0)),"preparo",IF(ISNUMBER(MATCH(C159,Fichas!$A:$A,0)),"ficha",""))))</f>
      </c>
      <c r="C159" s="7"/>
      <c r="D159" s="7"/>
      <c r="E159" s="8">
        <f>IF(C159="","",IFERROR(VLOOKUP(C159,Insumos!$A:$I,9,FALSE),IFERROR(VLOOKUP(C159,Preparos!$A:$D,4,FALSE),IFERROR(IF(ISNUMBER(MATCH(C159,Fichas!$A:$A,0)),"un",""),""))))</f>
      </c>
      <c r="F159" s="8">
        <f>IF(C159="","",IFERROR(VLOOKUP(C159,Insumos!$A:$G,7,FALSE),100))</f>
      </c>
      <c r="G159" s="9">
        <f>IF(C159="","",IFERROR(VLOOKUP(C159,Insumos!$A:$J,10,FALSE),IFERROR(VLOOKUP(C159,Preparos!$A:$F,6,FALSE),IFERROR(VLOOKUP(C159,Fichas!$A:$D,4,FALSE),0))))</f>
      </c>
      <c r="H159" s="10">
        <f>IF(OR(D159="",G159="",F159=0),"",D159*G159*(100/F159))</f>
      </c>
      <c r="I159" s="5"/>
    </row>
    <row r="160" spans="1:9" x14ac:dyDescent="0.25">
      <c r="A160" s="7"/>
      <c r="B160" s="8">
        <f>IF(C160="","",IF(ISNUMBER(MATCH(C160,Insumos!$A:$A,0)),"insumo",IF(ISNUMBER(MATCH(C160,Preparos!$A:$A,0)),"preparo",IF(ISNUMBER(MATCH(C160,Fichas!$A:$A,0)),"ficha",""))))</f>
      </c>
      <c r="C160" s="7"/>
      <c r="D160" s="7"/>
      <c r="E160" s="8">
        <f>IF(C160="","",IFERROR(VLOOKUP(C160,Insumos!$A:$I,9,FALSE),IFERROR(VLOOKUP(C160,Preparos!$A:$D,4,FALSE),IFERROR(IF(ISNUMBER(MATCH(C160,Fichas!$A:$A,0)),"un",""),""))))</f>
      </c>
      <c r="F160" s="8">
        <f>IF(C160="","",IFERROR(VLOOKUP(C160,Insumos!$A:$G,7,FALSE),100))</f>
      </c>
      <c r="G160" s="9">
        <f>IF(C160="","",IFERROR(VLOOKUP(C160,Insumos!$A:$J,10,FALSE),IFERROR(VLOOKUP(C160,Preparos!$A:$F,6,FALSE),IFERROR(VLOOKUP(C160,Fichas!$A:$D,4,FALSE),0))))</f>
      </c>
      <c r="H160" s="10">
        <f>IF(OR(D160="",G160="",F160=0),"",D160*G160*(100/F160))</f>
      </c>
      <c r="I160" s="5"/>
    </row>
    <row r="161" spans="1:9" x14ac:dyDescent="0.25">
      <c r="A161" s="7"/>
      <c r="B161" s="8">
        <f>IF(C161="","",IF(ISNUMBER(MATCH(C161,Insumos!$A:$A,0)),"insumo",IF(ISNUMBER(MATCH(C161,Preparos!$A:$A,0)),"preparo",IF(ISNUMBER(MATCH(C161,Fichas!$A:$A,0)),"ficha",""))))</f>
      </c>
      <c r="C161" s="7"/>
      <c r="D161" s="7"/>
      <c r="E161" s="8">
        <f>IF(C161="","",IFERROR(VLOOKUP(C161,Insumos!$A:$I,9,FALSE),IFERROR(VLOOKUP(C161,Preparos!$A:$D,4,FALSE),IFERROR(IF(ISNUMBER(MATCH(C161,Fichas!$A:$A,0)),"un",""),""))))</f>
      </c>
      <c r="F161" s="8">
        <f>IF(C161="","",IFERROR(VLOOKUP(C161,Insumos!$A:$G,7,FALSE),100))</f>
      </c>
      <c r="G161" s="9">
        <f>IF(C161="","",IFERROR(VLOOKUP(C161,Insumos!$A:$J,10,FALSE),IFERROR(VLOOKUP(C161,Preparos!$A:$F,6,FALSE),IFERROR(VLOOKUP(C161,Fichas!$A:$D,4,FALSE),0))))</f>
      </c>
      <c r="H161" s="10">
        <f>IF(OR(D161="",G161="",F161=0),"",D161*G161*(100/F161))</f>
      </c>
      <c r="I161" s="5"/>
    </row>
    <row r="162" spans="1:9" x14ac:dyDescent="0.25">
      <c r="A162" s="7"/>
      <c r="B162" s="8">
        <f>IF(C162="","",IF(ISNUMBER(MATCH(C162,Insumos!$A:$A,0)),"insumo",IF(ISNUMBER(MATCH(C162,Preparos!$A:$A,0)),"preparo",IF(ISNUMBER(MATCH(C162,Fichas!$A:$A,0)),"ficha",""))))</f>
      </c>
      <c r="C162" s="7"/>
      <c r="D162" s="7"/>
      <c r="E162" s="8">
        <f>IF(C162="","",IFERROR(VLOOKUP(C162,Insumos!$A:$I,9,FALSE),IFERROR(VLOOKUP(C162,Preparos!$A:$D,4,FALSE),IFERROR(IF(ISNUMBER(MATCH(C162,Fichas!$A:$A,0)),"un",""),""))))</f>
      </c>
      <c r="F162" s="8">
        <f>IF(C162="","",IFERROR(VLOOKUP(C162,Insumos!$A:$G,7,FALSE),100))</f>
      </c>
      <c r="G162" s="9">
        <f>IF(C162="","",IFERROR(VLOOKUP(C162,Insumos!$A:$J,10,FALSE),IFERROR(VLOOKUP(C162,Preparos!$A:$F,6,FALSE),IFERROR(VLOOKUP(C162,Fichas!$A:$D,4,FALSE),0))))</f>
      </c>
      <c r="H162" s="10">
        <f>IF(OR(D162="",G162="",F162=0),"",D162*G162*(100/F162))</f>
      </c>
      <c r="I162" s="5"/>
    </row>
    <row r="163" spans="1:9" x14ac:dyDescent="0.25">
      <c r="A163" s="7"/>
      <c r="B163" s="8">
        <f>IF(C163="","",IF(ISNUMBER(MATCH(C163,Insumos!$A:$A,0)),"insumo",IF(ISNUMBER(MATCH(C163,Preparos!$A:$A,0)),"preparo",IF(ISNUMBER(MATCH(C163,Fichas!$A:$A,0)),"ficha",""))))</f>
      </c>
      <c r="C163" s="7"/>
      <c r="D163" s="7"/>
      <c r="E163" s="8">
        <f>IF(C163="","",IFERROR(VLOOKUP(C163,Insumos!$A:$I,9,FALSE),IFERROR(VLOOKUP(C163,Preparos!$A:$D,4,FALSE),IFERROR(IF(ISNUMBER(MATCH(C163,Fichas!$A:$A,0)),"un",""),""))))</f>
      </c>
      <c r="F163" s="8">
        <f>IF(C163="","",IFERROR(VLOOKUP(C163,Insumos!$A:$G,7,FALSE),100))</f>
      </c>
      <c r="G163" s="9">
        <f>IF(C163="","",IFERROR(VLOOKUP(C163,Insumos!$A:$J,10,FALSE),IFERROR(VLOOKUP(C163,Preparos!$A:$F,6,FALSE),IFERROR(VLOOKUP(C163,Fichas!$A:$D,4,FALSE),0))))</f>
      </c>
      <c r="H163" s="10">
        <f>IF(OR(D163="",G163="",F163=0),"",D163*G163*(100/F163))</f>
      </c>
      <c r="I163" s="5"/>
    </row>
    <row r="164" spans="1:9" x14ac:dyDescent="0.25">
      <c r="A164" s="7"/>
      <c r="B164" s="8">
        <f>IF(C164="","",IF(ISNUMBER(MATCH(C164,Insumos!$A:$A,0)),"insumo",IF(ISNUMBER(MATCH(C164,Preparos!$A:$A,0)),"preparo",IF(ISNUMBER(MATCH(C164,Fichas!$A:$A,0)),"ficha",""))))</f>
      </c>
      <c r="C164" s="7"/>
      <c r="D164" s="7"/>
      <c r="E164" s="8">
        <f>IF(C164="","",IFERROR(VLOOKUP(C164,Insumos!$A:$I,9,FALSE),IFERROR(VLOOKUP(C164,Preparos!$A:$D,4,FALSE),IFERROR(IF(ISNUMBER(MATCH(C164,Fichas!$A:$A,0)),"un",""),""))))</f>
      </c>
      <c r="F164" s="8">
        <f>IF(C164="","",IFERROR(VLOOKUP(C164,Insumos!$A:$G,7,FALSE),100))</f>
      </c>
      <c r="G164" s="9">
        <f>IF(C164="","",IFERROR(VLOOKUP(C164,Insumos!$A:$J,10,FALSE),IFERROR(VLOOKUP(C164,Preparos!$A:$F,6,FALSE),IFERROR(VLOOKUP(C164,Fichas!$A:$D,4,FALSE),0))))</f>
      </c>
      <c r="H164" s="10">
        <f>IF(OR(D164="",G164="",F164=0),"",D164*G164*(100/F164))</f>
      </c>
      <c r="I164" s="5"/>
    </row>
    <row r="165" spans="1:9" x14ac:dyDescent="0.25">
      <c r="A165" s="7"/>
      <c r="B165" s="8">
        <f>IF(C165="","",IF(ISNUMBER(MATCH(C165,Insumos!$A:$A,0)),"insumo",IF(ISNUMBER(MATCH(C165,Preparos!$A:$A,0)),"preparo",IF(ISNUMBER(MATCH(C165,Fichas!$A:$A,0)),"ficha",""))))</f>
      </c>
      <c r="C165" s="7"/>
      <c r="D165" s="7"/>
      <c r="E165" s="8">
        <f>IF(C165="","",IFERROR(VLOOKUP(C165,Insumos!$A:$I,9,FALSE),IFERROR(VLOOKUP(C165,Preparos!$A:$D,4,FALSE),IFERROR(IF(ISNUMBER(MATCH(C165,Fichas!$A:$A,0)),"un",""),""))))</f>
      </c>
      <c r="F165" s="8">
        <f>IF(C165="","",IFERROR(VLOOKUP(C165,Insumos!$A:$G,7,FALSE),100))</f>
      </c>
      <c r="G165" s="9">
        <f>IF(C165="","",IFERROR(VLOOKUP(C165,Insumos!$A:$J,10,FALSE),IFERROR(VLOOKUP(C165,Preparos!$A:$F,6,FALSE),IFERROR(VLOOKUP(C165,Fichas!$A:$D,4,FALSE),0))))</f>
      </c>
      <c r="H165" s="10">
        <f>IF(OR(D165="",G165="",F165=0),"",D165*G165*(100/F165))</f>
      </c>
      <c r="I165" s="5"/>
    </row>
    <row r="166" spans="1:9" x14ac:dyDescent="0.25">
      <c r="A166" s="7"/>
      <c r="B166" s="8">
        <f>IF(C166="","",IF(ISNUMBER(MATCH(C166,Insumos!$A:$A,0)),"insumo",IF(ISNUMBER(MATCH(C166,Preparos!$A:$A,0)),"preparo",IF(ISNUMBER(MATCH(C166,Fichas!$A:$A,0)),"ficha",""))))</f>
      </c>
      <c r="C166" s="7"/>
      <c r="D166" s="7"/>
      <c r="E166" s="8">
        <f>IF(C166="","",IFERROR(VLOOKUP(C166,Insumos!$A:$I,9,FALSE),IFERROR(VLOOKUP(C166,Preparos!$A:$D,4,FALSE),IFERROR(IF(ISNUMBER(MATCH(C166,Fichas!$A:$A,0)),"un",""),""))))</f>
      </c>
      <c r="F166" s="8">
        <f>IF(C166="","",IFERROR(VLOOKUP(C166,Insumos!$A:$G,7,FALSE),100))</f>
      </c>
      <c r="G166" s="9">
        <f>IF(C166="","",IFERROR(VLOOKUP(C166,Insumos!$A:$J,10,FALSE),IFERROR(VLOOKUP(C166,Preparos!$A:$F,6,FALSE),IFERROR(VLOOKUP(C166,Fichas!$A:$D,4,FALSE),0))))</f>
      </c>
      <c r="H166" s="10">
        <f>IF(OR(D166="",G166="",F166=0),"",D166*G166*(100/F166))</f>
      </c>
      <c r="I166" s="5"/>
    </row>
    <row r="167" spans="1:9" x14ac:dyDescent="0.25">
      <c r="A167" s="7"/>
      <c r="B167" s="8">
        <f>IF(C167="","",IF(ISNUMBER(MATCH(C167,Insumos!$A:$A,0)),"insumo",IF(ISNUMBER(MATCH(C167,Preparos!$A:$A,0)),"preparo",IF(ISNUMBER(MATCH(C167,Fichas!$A:$A,0)),"ficha",""))))</f>
      </c>
      <c r="C167" s="7"/>
      <c r="D167" s="7"/>
      <c r="E167" s="8">
        <f>IF(C167="","",IFERROR(VLOOKUP(C167,Insumos!$A:$I,9,FALSE),IFERROR(VLOOKUP(C167,Preparos!$A:$D,4,FALSE),IFERROR(IF(ISNUMBER(MATCH(C167,Fichas!$A:$A,0)),"un",""),""))))</f>
      </c>
      <c r="F167" s="8">
        <f>IF(C167="","",IFERROR(VLOOKUP(C167,Insumos!$A:$G,7,FALSE),100))</f>
      </c>
      <c r="G167" s="9">
        <f>IF(C167="","",IFERROR(VLOOKUP(C167,Insumos!$A:$J,10,FALSE),IFERROR(VLOOKUP(C167,Preparos!$A:$F,6,FALSE),IFERROR(VLOOKUP(C167,Fichas!$A:$D,4,FALSE),0))))</f>
      </c>
      <c r="H167" s="10">
        <f>IF(OR(D167="",G167="",F167=0),"",D167*G167*(100/F167))</f>
      </c>
      <c r="I167" s="5"/>
    </row>
    <row r="168" spans="1:9" x14ac:dyDescent="0.25">
      <c r="A168" s="7"/>
      <c r="B168" s="8">
        <f>IF(C168="","",IF(ISNUMBER(MATCH(C168,Insumos!$A:$A,0)),"insumo",IF(ISNUMBER(MATCH(C168,Preparos!$A:$A,0)),"preparo",IF(ISNUMBER(MATCH(C168,Fichas!$A:$A,0)),"ficha",""))))</f>
      </c>
      <c r="C168" s="7"/>
      <c r="D168" s="7"/>
      <c r="E168" s="8">
        <f>IF(C168="","",IFERROR(VLOOKUP(C168,Insumos!$A:$I,9,FALSE),IFERROR(VLOOKUP(C168,Preparos!$A:$D,4,FALSE),IFERROR(IF(ISNUMBER(MATCH(C168,Fichas!$A:$A,0)),"un",""),""))))</f>
      </c>
      <c r="F168" s="8">
        <f>IF(C168="","",IFERROR(VLOOKUP(C168,Insumos!$A:$G,7,FALSE),100))</f>
      </c>
      <c r="G168" s="9">
        <f>IF(C168="","",IFERROR(VLOOKUP(C168,Insumos!$A:$J,10,FALSE),IFERROR(VLOOKUP(C168,Preparos!$A:$F,6,FALSE),IFERROR(VLOOKUP(C168,Fichas!$A:$D,4,FALSE),0))))</f>
      </c>
      <c r="H168" s="10">
        <f>IF(OR(D168="",G168="",F168=0),"",D168*G168*(100/F168))</f>
      </c>
      <c r="I168" s="5"/>
    </row>
    <row r="169" spans="1:9" x14ac:dyDescent="0.25">
      <c r="A169" s="7"/>
      <c r="B169" s="8">
        <f>IF(C169="","",IF(ISNUMBER(MATCH(C169,Insumos!$A:$A,0)),"insumo",IF(ISNUMBER(MATCH(C169,Preparos!$A:$A,0)),"preparo",IF(ISNUMBER(MATCH(C169,Fichas!$A:$A,0)),"ficha",""))))</f>
      </c>
      <c r="C169" s="7"/>
      <c r="D169" s="7"/>
      <c r="E169" s="8">
        <f>IF(C169="","",IFERROR(VLOOKUP(C169,Insumos!$A:$I,9,FALSE),IFERROR(VLOOKUP(C169,Preparos!$A:$D,4,FALSE),IFERROR(IF(ISNUMBER(MATCH(C169,Fichas!$A:$A,0)),"un",""),""))))</f>
      </c>
      <c r="F169" s="8">
        <f>IF(C169="","",IFERROR(VLOOKUP(C169,Insumos!$A:$G,7,FALSE),100))</f>
      </c>
      <c r="G169" s="9">
        <f>IF(C169="","",IFERROR(VLOOKUP(C169,Insumos!$A:$J,10,FALSE),IFERROR(VLOOKUP(C169,Preparos!$A:$F,6,FALSE),IFERROR(VLOOKUP(C169,Fichas!$A:$D,4,FALSE),0))))</f>
      </c>
      <c r="H169" s="10">
        <f>IF(OR(D169="",G169="",F169=0),"",D169*G169*(100/F169))</f>
      </c>
      <c r="I169" s="5"/>
    </row>
    <row r="170" spans="1:9" x14ac:dyDescent="0.25">
      <c r="A170" s="7"/>
      <c r="B170" s="8">
        <f>IF(C170="","",IF(ISNUMBER(MATCH(C170,Insumos!$A:$A,0)),"insumo",IF(ISNUMBER(MATCH(C170,Preparos!$A:$A,0)),"preparo",IF(ISNUMBER(MATCH(C170,Fichas!$A:$A,0)),"ficha",""))))</f>
      </c>
      <c r="C170" s="7"/>
      <c r="D170" s="7"/>
      <c r="E170" s="8">
        <f>IF(C170="","",IFERROR(VLOOKUP(C170,Insumos!$A:$I,9,FALSE),IFERROR(VLOOKUP(C170,Preparos!$A:$D,4,FALSE),IFERROR(IF(ISNUMBER(MATCH(C170,Fichas!$A:$A,0)),"un",""),""))))</f>
      </c>
      <c r="F170" s="8">
        <f>IF(C170="","",IFERROR(VLOOKUP(C170,Insumos!$A:$G,7,FALSE),100))</f>
      </c>
      <c r="G170" s="9">
        <f>IF(C170="","",IFERROR(VLOOKUP(C170,Insumos!$A:$J,10,FALSE),IFERROR(VLOOKUP(C170,Preparos!$A:$F,6,FALSE),IFERROR(VLOOKUP(C170,Fichas!$A:$D,4,FALSE),0))))</f>
      </c>
      <c r="H170" s="10">
        <f>IF(OR(D170="",G170="",F170=0),"",D170*G170*(100/F170))</f>
      </c>
      <c r="I170" s="5"/>
    </row>
    <row r="171" spans="1:9" x14ac:dyDescent="0.25">
      <c r="A171" s="7"/>
      <c r="B171" s="8">
        <f>IF(C171="","",IF(ISNUMBER(MATCH(C171,Insumos!$A:$A,0)),"insumo",IF(ISNUMBER(MATCH(C171,Preparos!$A:$A,0)),"preparo",IF(ISNUMBER(MATCH(C171,Fichas!$A:$A,0)),"ficha",""))))</f>
      </c>
      <c r="C171" s="7"/>
      <c r="D171" s="7"/>
      <c r="E171" s="8">
        <f>IF(C171="","",IFERROR(VLOOKUP(C171,Insumos!$A:$I,9,FALSE),IFERROR(VLOOKUP(C171,Preparos!$A:$D,4,FALSE),IFERROR(IF(ISNUMBER(MATCH(C171,Fichas!$A:$A,0)),"un",""),""))))</f>
      </c>
      <c r="F171" s="8">
        <f>IF(C171="","",IFERROR(VLOOKUP(C171,Insumos!$A:$G,7,FALSE),100))</f>
      </c>
      <c r="G171" s="9">
        <f>IF(C171="","",IFERROR(VLOOKUP(C171,Insumos!$A:$J,10,FALSE),IFERROR(VLOOKUP(C171,Preparos!$A:$F,6,FALSE),IFERROR(VLOOKUP(C171,Fichas!$A:$D,4,FALSE),0))))</f>
      </c>
      <c r="H171" s="10">
        <f>IF(OR(D171="",G171="",F171=0),"",D171*G171*(100/F171))</f>
      </c>
      <c r="I171" s="5"/>
    </row>
    <row r="172" spans="1:9" x14ac:dyDescent="0.25">
      <c r="A172" s="7"/>
      <c r="B172" s="8">
        <f>IF(C172="","",IF(ISNUMBER(MATCH(C172,Insumos!$A:$A,0)),"insumo",IF(ISNUMBER(MATCH(C172,Preparos!$A:$A,0)),"preparo",IF(ISNUMBER(MATCH(C172,Fichas!$A:$A,0)),"ficha",""))))</f>
      </c>
      <c r="C172" s="7"/>
      <c r="D172" s="7"/>
      <c r="E172" s="8">
        <f>IF(C172="","",IFERROR(VLOOKUP(C172,Insumos!$A:$I,9,FALSE),IFERROR(VLOOKUP(C172,Preparos!$A:$D,4,FALSE),IFERROR(IF(ISNUMBER(MATCH(C172,Fichas!$A:$A,0)),"un",""),""))))</f>
      </c>
      <c r="F172" s="8">
        <f>IF(C172="","",IFERROR(VLOOKUP(C172,Insumos!$A:$G,7,FALSE),100))</f>
      </c>
      <c r="G172" s="9">
        <f>IF(C172="","",IFERROR(VLOOKUP(C172,Insumos!$A:$J,10,FALSE),IFERROR(VLOOKUP(C172,Preparos!$A:$F,6,FALSE),IFERROR(VLOOKUP(C172,Fichas!$A:$D,4,FALSE),0))))</f>
      </c>
      <c r="H172" s="10">
        <f>IF(OR(D172="",G172="",F172=0),"",D172*G172*(100/F172))</f>
      </c>
      <c r="I172" s="5"/>
    </row>
    <row r="173" spans="1:9" x14ac:dyDescent="0.25">
      <c r="A173" s="7"/>
      <c r="B173" s="8">
        <f>IF(C173="","",IF(ISNUMBER(MATCH(C173,Insumos!$A:$A,0)),"insumo",IF(ISNUMBER(MATCH(C173,Preparos!$A:$A,0)),"preparo",IF(ISNUMBER(MATCH(C173,Fichas!$A:$A,0)),"ficha",""))))</f>
      </c>
      <c r="C173" s="7"/>
      <c r="D173" s="7"/>
      <c r="E173" s="8">
        <f>IF(C173="","",IFERROR(VLOOKUP(C173,Insumos!$A:$I,9,FALSE),IFERROR(VLOOKUP(C173,Preparos!$A:$D,4,FALSE),IFERROR(IF(ISNUMBER(MATCH(C173,Fichas!$A:$A,0)),"un",""),""))))</f>
      </c>
      <c r="F173" s="8">
        <f>IF(C173="","",IFERROR(VLOOKUP(C173,Insumos!$A:$G,7,FALSE),100))</f>
      </c>
      <c r="G173" s="9">
        <f>IF(C173="","",IFERROR(VLOOKUP(C173,Insumos!$A:$J,10,FALSE),IFERROR(VLOOKUP(C173,Preparos!$A:$F,6,FALSE),IFERROR(VLOOKUP(C173,Fichas!$A:$D,4,FALSE),0))))</f>
      </c>
      <c r="H173" s="10">
        <f>IF(OR(D173="",G173="",F173=0),"",D173*G173*(100/F173))</f>
      </c>
      <c r="I173" s="5"/>
    </row>
    <row r="174" spans="1:9" x14ac:dyDescent="0.25">
      <c r="A174" s="7"/>
      <c r="B174" s="8">
        <f>IF(C174="","",IF(ISNUMBER(MATCH(C174,Insumos!$A:$A,0)),"insumo",IF(ISNUMBER(MATCH(C174,Preparos!$A:$A,0)),"preparo",IF(ISNUMBER(MATCH(C174,Fichas!$A:$A,0)),"ficha",""))))</f>
      </c>
      <c r="C174" s="7"/>
      <c r="D174" s="7"/>
      <c r="E174" s="8">
        <f>IF(C174="","",IFERROR(VLOOKUP(C174,Insumos!$A:$I,9,FALSE),IFERROR(VLOOKUP(C174,Preparos!$A:$D,4,FALSE),IFERROR(IF(ISNUMBER(MATCH(C174,Fichas!$A:$A,0)),"un",""),""))))</f>
      </c>
      <c r="F174" s="8">
        <f>IF(C174="","",IFERROR(VLOOKUP(C174,Insumos!$A:$G,7,FALSE),100))</f>
      </c>
      <c r="G174" s="9">
        <f>IF(C174="","",IFERROR(VLOOKUP(C174,Insumos!$A:$J,10,FALSE),IFERROR(VLOOKUP(C174,Preparos!$A:$F,6,FALSE),IFERROR(VLOOKUP(C174,Fichas!$A:$D,4,FALSE),0))))</f>
      </c>
      <c r="H174" s="10">
        <f>IF(OR(D174="",G174="",F174=0),"",D174*G174*(100/F174))</f>
      </c>
      <c r="I174" s="5"/>
    </row>
    <row r="175" spans="1:9" x14ac:dyDescent="0.25">
      <c r="A175" s="7"/>
      <c r="B175" s="8">
        <f>IF(C175="","",IF(ISNUMBER(MATCH(C175,Insumos!$A:$A,0)),"insumo",IF(ISNUMBER(MATCH(C175,Preparos!$A:$A,0)),"preparo",IF(ISNUMBER(MATCH(C175,Fichas!$A:$A,0)),"ficha",""))))</f>
      </c>
      <c r="C175" s="7"/>
      <c r="D175" s="7"/>
      <c r="E175" s="8">
        <f>IF(C175="","",IFERROR(VLOOKUP(C175,Insumos!$A:$I,9,FALSE),IFERROR(VLOOKUP(C175,Preparos!$A:$D,4,FALSE),IFERROR(IF(ISNUMBER(MATCH(C175,Fichas!$A:$A,0)),"un",""),""))))</f>
      </c>
      <c r="F175" s="8">
        <f>IF(C175="","",IFERROR(VLOOKUP(C175,Insumos!$A:$G,7,FALSE),100))</f>
      </c>
      <c r="G175" s="9">
        <f>IF(C175="","",IFERROR(VLOOKUP(C175,Insumos!$A:$J,10,FALSE),IFERROR(VLOOKUP(C175,Preparos!$A:$F,6,FALSE),IFERROR(VLOOKUP(C175,Fichas!$A:$D,4,FALSE),0))))</f>
      </c>
      <c r="H175" s="10">
        <f>IF(OR(D175="",G175="",F175=0),"",D175*G175*(100/F175))</f>
      </c>
      <c r="I175" s="5"/>
    </row>
    <row r="176" spans="1:9" x14ac:dyDescent="0.25">
      <c r="A176" s="7"/>
      <c r="B176" s="8">
        <f>IF(C176="","",IF(ISNUMBER(MATCH(C176,Insumos!$A:$A,0)),"insumo",IF(ISNUMBER(MATCH(C176,Preparos!$A:$A,0)),"preparo",IF(ISNUMBER(MATCH(C176,Fichas!$A:$A,0)),"ficha",""))))</f>
      </c>
      <c r="C176" s="7"/>
      <c r="D176" s="7"/>
      <c r="E176" s="8">
        <f>IF(C176="","",IFERROR(VLOOKUP(C176,Insumos!$A:$I,9,FALSE),IFERROR(VLOOKUP(C176,Preparos!$A:$D,4,FALSE),IFERROR(IF(ISNUMBER(MATCH(C176,Fichas!$A:$A,0)),"un",""),""))))</f>
      </c>
      <c r="F176" s="8">
        <f>IF(C176="","",IFERROR(VLOOKUP(C176,Insumos!$A:$G,7,FALSE),100))</f>
      </c>
      <c r="G176" s="9">
        <f>IF(C176="","",IFERROR(VLOOKUP(C176,Insumos!$A:$J,10,FALSE),IFERROR(VLOOKUP(C176,Preparos!$A:$F,6,FALSE),IFERROR(VLOOKUP(C176,Fichas!$A:$D,4,FALSE),0))))</f>
      </c>
      <c r="H176" s="10">
        <f>IF(OR(D176="",G176="",F176=0),"",D176*G176*(100/F176))</f>
      </c>
      <c r="I176" s="5"/>
    </row>
    <row r="177" spans="1:9" x14ac:dyDescent="0.25">
      <c r="A177" s="7"/>
      <c r="B177" s="8">
        <f>IF(C177="","",IF(ISNUMBER(MATCH(C177,Insumos!$A:$A,0)),"insumo",IF(ISNUMBER(MATCH(C177,Preparos!$A:$A,0)),"preparo",IF(ISNUMBER(MATCH(C177,Fichas!$A:$A,0)),"ficha",""))))</f>
      </c>
      <c r="C177" s="7"/>
      <c r="D177" s="7"/>
      <c r="E177" s="8">
        <f>IF(C177="","",IFERROR(VLOOKUP(C177,Insumos!$A:$I,9,FALSE),IFERROR(VLOOKUP(C177,Preparos!$A:$D,4,FALSE),IFERROR(IF(ISNUMBER(MATCH(C177,Fichas!$A:$A,0)),"un",""),""))))</f>
      </c>
      <c r="F177" s="8">
        <f>IF(C177="","",IFERROR(VLOOKUP(C177,Insumos!$A:$G,7,FALSE),100))</f>
      </c>
      <c r="G177" s="9">
        <f>IF(C177="","",IFERROR(VLOOKUP(C177,Insumos!$A:$J,10,FALSE),IFERROR(VLOOKUP(C177,Preparos!$A:$F,6,FALSE),IFERROR(VLOOKUP(C177,Fichas!$A:$D,4,FALSE),0))))</f>
      </c>
      <c r="H177" s="10">
        <f>IF(OR(D177="",G177="",F177=0),"",D177*G177*(100/F177))</f>
      </c>
      <c r="I177" s="5"/>
    </row>
    <row r="178" spans="1:9" x14ac:dyDescent="0.25">
      <c r="A178" s="7"/>
      <c r="B178" s="8">
        <f>IF(C178="","",IF(ISNUMBER(MATCH(C178,Insumos!$A:$A,0)),"insumo",IF(ISNUMBER(MATCH(C178,Preparos!$A:$A,0)),"preparo",IF(ISNUMBER(MATCH(C178,Fichas!$A:$A,0)),"ficha",""))))</f>
      </c>
      <c r="C178" s="7"/>
      <c r="D178" s="7"/>
      <c r="E178" s="8">
        <f>IF(C178="","",IFERROR(VLOOKUP(C178,Insumos!$A:$I,9,FALSE),IFERROR(VLOOKUP(C178,Preparos!$A:$D,4,FALSE),IFERROR(IF(ISNUMBER(MATCH(C178,Fichas!$A:$A,0)),"un",""),""))))</f>
      </c>
      <c r="F178" s="8">
        <f>IF(C178="","",IFERROR(VLOOKUP(C178,Insumos!$A:$G,7,FALSE),100))</f>
      </c>
      <c r="G178" s="9">
        <f>IF(C178="","",IFERROR(VLOOKUP(C178,Insumos!$A:$J,10,FALSE),IFERROR(VLOOKUP(C178,Preparos!$A:$F,6,FALSE),IFERROR(VLOOKUP(C178,Fichas!$A:$D,4,FALSE),0))))</f>
      </c>
      <c r="H178" s="10">
        <f>IF(OR(D178="",G178="",F178=0),"",D178*G178*(100/F178))</f>
      </c>
      <c r="I178" s="5"/>
    </row>
    <row r="179" spans="1:9" x14ac:dyDescent="0.25">
      <c r="A179" s="7"/>
      <c r="B179" s="8">
        <f>IF(C179="","",IF(ISNUMBER(MATCH(C179,Insumos!$A:$A,0)),"insumo",IF(ISNUMBER(MATCH(C179,Preparos!$A:$A,0)),"preparo",IF(ISNUMBER(MATCH(C179,Fichas!$A:$A,0)),"ficha",""))))</f>
      </c>
      <c r="C179" s="7"/>
      <c r="D179" s="7"/>
      <c r="E179" s="8">
        <f>IF(C179="","",IFERROR(VLOOKUP(C179,Insumos!$A:$I,9,FALSE),IFERROR(VLOOKUP(C179,Preparos!$A:$D,4,FALSE),IFERROR(IF(ISNUMBER(MATCH(C179,Fichas!$A:$A,0)),"un",""),""))))</f>
      </c>
      <c r="F179" s="8">
        <f>IF(C179="","",IFERROR(VLOOKUP(C179,Insumos!$A:$G,7,FALSE),100))</f>
      </c>
      <c r="G179" s="9">
        <f>IF(C179="","",IFERROR(VLOOKUP(C179,Insumos!$A:$J,10,FALSE),IFERROR(VLOOKUP(C179,Preparos!$A:$F,6,FALSE),IFERROR(VLOOKUP(C179,Fichas!$A:$D,4,FALSE),0))))</f>
      </c>
      <c r="H179" s="10">
        <f>IF(OR(D179="",G179="",F179=0),"",D179*G179*(100/F179))</f>
      </c>
      <c r="I179" s="5"/>
    </row>
    <row r="180" spans="1:9" x14ac:dyDescent="0.25">
      <c r="A180" s="7"/>
      <c r="B180" s="8">
        <f>IF(C180="","",IF(ISNUMBER(MATCH(C180,Insumos!$A:$A,0)),"insumo",IF(ISNUMBER(MATCH(C180,Preparos!$A:$A,0)),"preparo",IF(ISNUMBER(MATCH(C180,Fichas!$A:$A,0)),"ficha",""))))</f>
      </c>
      <c r="C180" s="7"/>
      <c r="D180" s="7"/>
      <c r="E180" s="8">
        <f>IF(C180="","",IFERROR(VLOOKUP(C180,Insumos!$A:$I,9,FALSE),IFERROR(VLOOKUP(C180,Preparos!$A:$D,4,FALSE),IFERROR(IF(ISNUMBER(MATCH(C180,Fichas!$A:$A,0)),"un",""),""))))</f>
      </c>
      <c r="F180" s="8">
        <f>IF(C180="","",IFERROR(VLOOKUP(C180,Insumos!$A:$G,7,FALSE),100))</f>
      </c>
      <c r="G180" s="9">
        <f>IF(C180="","",IFERROR(VLOOKUP(C180,Insumos!$A:$J,10,FALSE),IFERROR(VLOOKUP(C180,Preparos!$A:$F,6,FALSE),IFERROR(VLOOKUP(C180,Fichas!$A:$D,4,FALSE),0))))</f>
      </c>
      <c r="H180" s="10">
        <f>IF(OR(D180="",G180="",F180=0),"",D180*G180*(100/F180))</f>
      </c>
      <c r="I180" s="5"/>
    </row>
    <row r="181" spans="1:9" x14ac:dyDescent="0.25">
      <c r="A181" s="7"/>
      <c r="B181" s="8">
        <f>IF(C181="","",IF(ISNUMBER(MATCH(C181,Insumos!$A:$A,0)),"insumo",IF(ISNUMBER(MATCH(C181,Preparos!$A:$A,0)),"preparo",IF(ISNUMBER(MATCH(C181,Fichas!$A:$A,0)),"ficha",""))))</f>
      </c>
      <c r="C181" s="7"/>
      <c r="D181" s="7"/>
      <c r="E181" s="8">
        <f>IF(C181="","",IFERROR(VLOOKUP(C181,Insumos!$A:$I,9,FALSE),IFERROR(VLOOKUP(C181,Preparos!$A:$D,4,FALSE),IFERROR(IF(ISNUMBER(MATCH(C181,Fichas!$A:$A,0)),"un",""),""))))</f>
      </c>
      <c r="F181" s="8">
        <f>IF(C181="","",IFERROR(VLOOKUP(C181,Insumos!$A:$G,7,FALSE),100))</f>
      </c>
      <c r="G181" s="9">
        <f>IF(C181="","",IFERROR(VLOOKUP(C181,Insumos!$A:$J,10,FALSE),IFERROR(VLOOKUP(C181,Preparos!$A:$F,6,FALSE),IFERROR(VLOOKUP(C181,Fichas!$A:$D,4,FALSE),0))))</f>
      </c>
      <c r="H181" s="10">
        <f>IF(OR(D181="",G181="",F181=0),"",D181*G181*(100/F181))</f>
      </c>
      <c r="I181" s="5"/>
    </row>
    <row r="182" spans="1:9" x14ac:dyDescent="0.25">
      <c r="A182" s="7"/>
      <c r="B182" s="8">
        <f>IF(C182="","",IF(ISNUMBER(MATCH(C182,Insumos!$A:$A,0)),"insumo",IF(ISNUMBER(MATCH(C182,Preparos!$A:$A,0)),"preparo",IF(ISNUMBER(MATCH(C182,Fichas!$A:$A,0)),"ficha",""))))</f>
      </c>
      <c r="C182" s="7"/>
      <c r="D182" s="7"/>
      <c r="E182" s="8">
        <f>IF(C182="","",IFERROR(VLOOKUP(C182,Insumos!$A:$I,9,FALSE),IFERROR(VLOOKUP(C182,Preparos!$A:$D,4,FALSE),IFERROR(IF(ISNUMBER(MATCH(C182,Fichas!$A:$A,0)),"un",""),""))))</f>
      </c>
      <c r="F182" s="8">
        <f>IF(C182="","",IFERROR(VLOOKUP(C182,Insumos!$A:$G,7,FALSE),100))</f>
      </c>
      <c r="G182" s="9">
        <f>IF(C182="","",IFERROR(VLOOKUP(C182,Insumos!$A:$J,10,FALSE),IFERROR(VLOOKUP(C182,Preparos!$A:$F,6,FALSE),IFERROR(VLOOKUP(C182,Fichas!$A:$D,4,FALSE),0))))</f>
      </c>
      <c r="H182" s="10">
        <f>IF(OR(D182="",G182="",F182=0),"",D182*G182*(100/F182))</f>
      </c>
      <c r="I182" s="5"/>
    </row>
    <row r="183" spans="1:9" x14ac:dyDescent="0.25">
      <c r="A183" s="7"/>
      <c r="B183" s="8">
        <f>IF(C183="","",IF(ISNUMBER(MATCH(C183,Insumos!$A:$A,0)),"insumo",IF(ISNUMBER(MATCH(C183,Preparos!$A:$A,0)),"preparo",IF(ISNUMBER(MATCH(C183,Fichas!$A:$A,0)),"ficha",""))))</f>
      </c>
      <c r="C183" s="7"/>
      <c r="D183" s="7"/>
      <c r="E183" s="8">
        <f>IF(C183="","",IFERROR(VLOOKUP(C183,Insumos!$A:$I,9,FALSE),IFERROR(VLOOKUP(C183,Preparos!$A:$D,4,FALSE),IFERROR(IF(ISNUMBER(MATCH(C183,Fichas!$A:$A,0)),"un",""),""))))</f>
      </c>
      <c r="F183" s="8">
        <f>IF(C183="","",IFERROR(VLOOKUP(C183,Insumos!$A:$G,7,FALSE),100))</f>
      </c>
      <c r="G183" s="9">
        <f>IF(C183="","",IFERROR(VLOOKUP(C183,Insumos!$A:$J,10,FALSE),IFERROR(VLOOKUP(C183,Preparos!$A:$F,6,FALSE),IFERROR(VLOOKUP(C183,Fichas!$A:$D,4,FALSE),0))))</f>
      </c>
      <c r="H183" s="10">
        <f>IF(OR(D183="",G183="",F183=0),"",D183*G183*(100/F183))</f>
      </c>
      <c r="I183" s="5"/>
    </row>
    <row r="184" spans="1:9" x14ac:dyDescent="0.25">
      <c r="A184" s="7"/>
      <c r="B184" s="8">
        <f>IF(C184="","",IF(ISNUMBER(MATCH(C184,Insumos!$A:$A,0)),"insumo",IF(ISNUMBER(MATCH(C184,Preparos!$A:$A,0)),"preparo",IF(ISNUMBER(MATCH(C184,Fichas!$A:$A,0)),"ficha",""))))</f>
      </c>
      <c r="C184" s="7"/>
      <c r="D184" s="7"/>
      <c r="E184" s="8">
        <f>IF(C184="","",IFERROR(VLOOKUP(C184,Insumos!$A:$I,9,FALSE),IFERROR(VLOOKUP(C184,Preparos!$A:$D,4,FALSE),IFERROR(IF(ISNUMBER(MATCH(C184,Fichas!$A:$A,0)),"un",""),""))))</f>
      </c>
      <c r="F184" s="8">
        <f>IF(C184="","",IFERROR(VLOOKUP(C184,Insumos!$A:$G,7,FALSE),100))</f>
      </c>
      <c r="G184" s="9">
        <f>IF(C184="","",IFERROR(VLOOKUP(C184,Insumos!$A:$J,10,FALSE),IFERROR(VLOOKUP(C184,Preparos!$A:$F,6,FALSE),IFERROR(VLOOKUP(C184,Fichas!$A:$D,4,FALSE),0))))</f>
      </c>
      <c r="H184" s="10">
        <f>IF(OR(D184="",G184="",F184=0),"",D184*G184*(100/F184))</f>
      </c>
      <c r="I184" s="5"/>
    </row>
    <row r="185" spans="1:9" x14ac:dyDescent="0.25">
      <c r="A185" s="7"/>
      <c r="B185" s="8">
        <f>IF(C185="","",IF(ISNUMBER(MATCH(C185,Insumos!$A:$A,0)),"insumo",IF(ISNUMBER(MATCH(C185,Preparos!$A:$A,0)),"preparo",IF(ISNUMBER(MATCH(C185,Fichas!$A:$A,0)),"ficha",""))))</f>
      </c>
      <c r="C185" s="7"/>
      <c r="D185" s="7"/>
      <c r="E185" s="8">
        <f>IF(C185="","",IFERROR(VLOOKUP(C185,Insumos!$A:$I,9,FALSE),IFERROR(VLOOKUP(C185,Preparos!$A:$D,4,FALSE),IFERROR(IF(ISNUMBER(MATCH(C185,Fichas!$A:$A,0)),"un",""),""))))</f>
      </c>
      <c r="F185" s="8">
        <f>IF(C185="","",IFERROR(VLOOKUP(C185,Insumos!$A:$G,7,FALSE),100))</f>
      </c>
      <c r="G185" s="9">
        <f>IF(C185="","",IFERROR(VLOOKUP(C185,Insumos!$A:$J,10,FALSE),IFERROR(VLOOKUP(C185,Preparos!$A:$F,6,FALSE),IFERROR(VLOOKUP(C185,Fichas!$A:$D,4,FALSE),0))))</f>
      </c>
      <c r="H185" s="10">
        <f>IF(OR(D185="",G185="",F185=0),"",D185*G185*(100/F185))</f>
      </c>
      <c r="I185" s="5"/>
    </row>
    <row r="186" spans="1:9" x14ac:dyDescent="0.25">
      <c r="A186" s="7"/>
      <c r="B186" s="8">
        <f>IF(C186="","",IF(ISNUMBER(MATCH(C186,Insumos!$A:$A,0)),"insumo",IF(ISNUMBER(MATCH(C186,Preparos!$A:$A,0)),"preparo",IF(ISNUMBER(MATCH(C186,Fichas!$A:$A,0)),"ficha",""))))</f>
      </c>
      <c r="C186" s="7"/>
      <c r="D186" s="7"/>
      <c r="E186" s="8">
        <f>IF(C186="","",IFERROR(VLOOKUP(C186,Insumos!$A:$I,9,FALSE),IFERROR(VLOOKUP(C186,Preparos!$A:$D,4,FALSE),IFERROR(IF(ISNUMBER(MATCH(C186,Fichas!$A:$A,0)),"un",""),""))))</f>
      </c>
      <c r="F186" s="8">
        <f>IF(C186="","",IFERROR(VLOOKUP(C186,Insumos!$A:$G,7,FALSE),100))</f>
      </c>
      <c r="G186" s="9">
        <f>IF(C186="","",IFERROR(VLOOKUP(C186,Insumos!$A:$J,10,FALSE),IFERROR(VLOOKUP(C186,Preparos!$A:$F,6,FALSE),IFERROR(VLOOKUP(C186,Fichas!$A:$D,4,FALSE),0))))</f>
      </c>
      <c r="H186" s="10">
        <f>IF(OR(D186="",G186="",F186=0),"",D186*G186*(100/F186))</f>
      </c>
      <c r="I186" s="5"/>
    </row>
    <row r="187" spans="1:9" x14ac:dyDescent="0.25">
      <c r="A187" s="7"/>
      <c r="B187" s="8">
        <f>IF(C187="","",IF(ISNUMBER(MATCH(C187,Insumos!$A:$A,0)),"insumo",IF(ISNUMBER(MATCH(C187,Preparos!$A:$A,0)),"preparo",IF(ISNUMBER(MATCH(C187,Fichas!$A:$A,0)),"ficha",""))))</f>
      </c>
      <c r="C187" s="7"/>
      <c r="D187" s="7"/>
      <c r="E187" s="8">
        <f>IF(C187="","",IFERROR(VLOOKUP(C187,Insumos!$A:$I,9,FALSE),IFERROR(VLOOKUP(C187,Preparos!$A:$D,4,FALSE),IFERROR(IF(ISNUMBER(MATCH(C187,Fichas!$A:$A,0)),"un",""),""))))</f>
      </c>
      <c r="F187" s="8">
        <f>IF(C187="","",IFERROR(VLOOKUP(C187,Insumos!$A:$G,7,FALSE),100))</f>
      </c>
      <c r="G187" s="9">
        <f>IF(C187="","",IFERROR(VLOOKUP(C187,Insumos!$A:$J,10,FALSE),IFERROR(VLOOKUP(C187,Preparos!$A:$F,6,FALSE),IFERROR(VLOOKUP(C187,Fichas!$A:$D,4,FALSE),0))))</f>
      </c>
      <c r="H187" s="10">
        <f>IF(OR(D187="",G187="",F187=0),"",D187*G187*(100/F187))</f>
      </c>
      <c r="I187" s="5"/>
    </row>
    <row r="188" spans="1:9" x14ac:dyDescent="0.25">
      <c r="A188" s="7"/>
      <c r="B188" s="8">
        <f>IF(C188="","",IF(ISNUMBER(MATCH(C188,Insumos!$A:$A,0)),"insumo",IF(ISNUMBER(MATCH(C188,Preparos!$A:$A,0)),"preparo",IF(ISNUMBER(MATCH(C188,Fichas!$A:$A,0)),"ficha",""))))</f>
      </c>
      <c r="C188" s="7"/>
      <c r="D188" s="7"/>
      <c r="E188" s="8">
        <f>IF(C188="","",IFERROR(VLOOKUP(C188,Insumos!$A:$I,9,FALSE),IFERROR(VLOOKUP(C188,Preparos!$A:$D,4,FALSE),IFERROR(IF(ISNUMBER(MATCH(C188,Fichas!$A:$A,0)),"un",""),""))))</f>
      </c>
      <c r="F188" s="8">
        <f>IF(C188="","",IFERROR(VLOOKUP(C188,Insumos!$A:$G,7,FALSE),100))</f>
      </c>
      <c r="G188" s="9">
        <f>IF(C188="","",IFERROR(VLOOKUP(C188,Insumos!$A:$J,10,FALSE),IFERROR(VLOOKUP(C188,Preparos!$A:$F,6,FALSE),IFERROR(VLOOKUP(C188,Fichas!$A:$D,4,FALSE),0))))</f>
      </c>
      <c r="H188" s="10">
        <f>IF(OR(D188="",G188="",F188=0),"",D188*G188*(100/F188))</f>
      </c>
      <c r="I188" s="5"/>
    </row>
    <row r="189" spans="1:9" x14ac:dyDescent="0.25">
      <c r="A189" s="7"/>
      <c r="B189" s="8">
        <f>IF(C189="","",IF(ISNUMBER(MATCH(C189,Insumos!$A:$A,0)),"insumo",IF(ISNUMBER(MATCH(C189,Preparos!$A:$A,0)),"preparo",IF(ISNUMBER(MATCH(C189,Fichas!$A:$A,0)),"ficha",""))))</f>
      </c>
      <c r="C189" s="7"/>
      <c r="D189" s="7"/>
      <c r="E189" s="8">
        <f>IF(C189="","",IFERROR(VLOOKUP(C189,Insumos!$A:$I,9,FALSE),IFERROR(VLOOKUP(C189,Preparos!$A:$D,4,FALSE),IFERROR(IF(ISNUMBER(MATCH(C189,Fichas!$A:$A,0)),"un",""),""))))</f>
      </c>
      <c r="F189" s="8">
        <f>IF(C189="","",IFERROR(VLOOKUP(C189,Insumos!$A:$G,7,FALSE),100))</f>
      </c>
      <c r="G189" s="9">
        <f>IF(C189="","",IFERROR(VLOOKUP(C189,Insumos!$A:$J,10,FALSE),IFERROR(VLOOKUP(C189,Preparos!$A:$F,6,FALSE),IFERROR(VLOOKUP(C189,Fichas!$A:$D,4,FALSE),0))))</f>
      </c>
      <c r="H189" s="10">
        <f>IF(OR(D189="",G189="",F189=0),"",D189*G189*(100/F189))</f>
      </c>
      <c r="I189" s="5"/>
    </row>
    <row r="190" spans="1:9" x14ac:dyDescent="0.25">
      <c r="A190" s="7"/>
      <c r="B190" s="8">
        <f>IF(C190="","",IF(ISNUMBER(MATCH(C190,Insumos!$A:$A,0)),"insumo",IF(ISNUMBER(MATCH(C190,Preparos!$A:$A,0)),"preparo",IF(ISNUMBER(MATCH(C190,Fichas!$A:$A,0)),"ficha",""))))</f>
      </c>
      <c r="C190" s="7"/>
      <c r="D190" s="7"/>
      <c r="E190" s="8">
        <f>IF(C190="","",IFERROR(VLOOKUP(C190,Insumos!$A:$I,9,FALSE),IFERROR(VLOOKUP(C190,Preparos!$A:$D,4,FALSE),IFERROR(IF(ISNUMBER(MATCH(C190,Fichas!$A:$A,0)),"un",""),""))))</f>
      </c>
      <c r="F190" s="8">
        <f>IF(C190="","",IFERROR(VLOOKUP(C190,Insumos!$A:$G,7,FALSE),100))</f>
      </c>
      <c r="G190" s="9">
        <f>IF(C190="","",IFERROR(VLOOKUP(C190,Insumos!$A:$J,10,FALSE),IFERROR(VLOOKUP(C190,Preparos!$A:$F,6,FALSE),IFERROR(VLOOKUP(C190,Fichas!$A:$D,4,FALSE),0))))</f>
      </c>
      <c r="H190" s="10">
        <f>IF(OR(D190="",G190="",F190=0),"",D190*G190*(100/F190))</f>
      </c>
      <c r="I190" s="5"/>
    </row>
    <row r="191" spans="1:9" x14ac:dyDescent="0.25">
      <c r="A191" s="7"/>
      <c r="B191" s="8">
        <f>IF(C191="","",IF(ISNUMBER(MATCH(C191,Insumos!$A:$A,0)),"insumo",IF(ISNUMBER(MATCH(C191,Preparos!$A:$A,0)),"preparo",IF(ISNUMBER(MATCH(C191,Fichas!$A:$A,0)),"ficha",""))))</f>
      </c>
      <c r="C191" s="7"/>
      <c r="D191" s="7"/>
      <c r="E191" s="8">
        <f>IF(C191="","",IFERROR(VLOOKUP(C191,Insumos!$A:$I,9,FALSE),IFERROR(VLOOKUP(C191,Preparos!$A:$D,4,FALSE),IFERROR(IF(ISNUMBER(MATCH(C191,Fichas!$A:$A,0)),"un",""),""))))</f>
      </c>
      <c r="F191" s="8">
        <f>IF(C191="","",IFERROR(VLOOKUP(C191,Insumos!$A:$G,7,FALSE),100))</f>
      </c>
      <c r="G191" s="9">
        <f>IF(C191="","",IFERROR(VLOOKUP(C191,Insumos!$A:$J,10,FALSE),IFERROR(VLOOKUP(C191,Preparos!$A:$F,6,FALSE),IFERROR(VLOOKUP(C191,Fichas!$A:$D,4,FALSE),0))))</f>
      </c>
      <c r="H191" s="10">
        <f>IF(OR(D191="",G191="",F191=0),"",D191*G191*(100/F191))</f>
      </c>
      <c r="I191" s="5"/>
    </row>
    <row r="192" spans="1:9" x14ac:dyDescent="0.25">
      <c r="A192" s="7"/>
      <c r="B192" s="8">
        <f>IF(C192="","",IF(ISNUMBER(MATCH(C192,Insumos!$A:$A,0)),"insumo",IF(ISNUMBER(MATCH(C192,Preparos!$A:$A,0)),"preparo",IF(ISNUMBER(MATCH(C192,Fichas!$A:$A,0)),"ficha",""))))</f>
      </c>
      <c r="C192" s="7"/>
      <c r="D192" s="7"/>
      <c r="E192" s="8">
        <f>IF(C192="","",IFERROR(VLOOKUP(C192,Insumos!$A:$I,9,FALSE),IFERROR(VLOOKUP(C192,Preparos!$A:$D,4,FALSE),IFERROR(IF(ISNUMBER(MATCH(C192,Fichas!$A:$A,0)),"un",""),""))))</f>
      </c>
      <c r="F192" s="8">
        <f>IF(C192="","",IFERROR(VLOOKUP(C192,Insumos!$A:$G,7,FALSE),100))</f>
      </c>
      <c r="G192" s="9">
        <f>IF(C192="","",IFERROR(VLOOKUP(C192,Insumos!$A:$J,10,FALSE),IFERROR(VLOOKUP(C192,Preparos!$A:$F,6,FALSE),IFERROR(VLOOKUP(C192,Fichas!$A:$D,4,FALSE),0))))</f>
      </c>
      <c r="H192" s="10">
        <f>IF(OR(D192="",G192="",F192=0),"",D192*G192*(100/F192))</f>
      </c>
      <c r="I192" s="5"/>
    </row>
    <row r="193" spans="1:9" x14ac:dyDescent="0.25">
      <c r="A193" s="7"/>
      <c r="B193" s="8">
        <f>IF(C193="","",IF(ISNUMBER(MATCH(C193,Insumos!$A:$A,0)),"insumo",IF(ISNUMBER(MATCH(C193,Preparos!$A:$A,0)),"preparo",IF(ISNUMBER(MATCH(C193,Fichas!$A:$A,0)),"ficha",""))))</f>
      </c>
      <c r="C193" s="7"/>
      <c r="D193" s="7"/>
      <c r="E193" s="8">
        <f>IF(C193="","",IFERROR(VLOOKUP(C193,Insumos!$A:$I,9,FALSE),IFERROR(VLOOKUP(C193,Preparos!$A:$D,4,FALSE),IFERROR(IF(ISNUMBER(MATCH(C193,Fichas!$A:$A,0)),"un",""),""))))</f>
      </c>
      <c r="F193" s="8">
        <f>IF(C193="","",IFERROR(VLOOKUP(C193,Insumos!$A:$G,7,FALSE),100))</f>
      </c>
      <c r="G193" s="9">
        <f>IF(C193="","",IFERROR(VLOOKUP(C193,Insumos!$A:$J,10,FALSE),IFERROR(VLOOKUP(C193,Preparos!$A:$F,6,FALSE),IFERROR(VLOOKUP(C193,Fichas!$A:$D,4,FALSE),0))))</f>
      </c>
      <c r="H193" s="10">
        <f>IF(OR(D193="",G193="",F193=0),"",D193*G193*(100/F193))</f>
      </c>
      <c r="I193" s="5"/>
    </row>
    <row r="194" spans="1:9" x14ac:dyDescent="0.25">
      <c r="A194" s="7"/>
      <c r="B194" s="8">
        <f>IF(C194="","",IF(ISNUMBER(MATCH(C194,Insumos!$A:$A,0)),"insumo",IF(ISNUMBER(MATCH(C194,Preparos!$A:$A,0)),"preparo",IF(ISNUMBER(MATCH(C194,Fichas!$A:$A,0)),"ficha",""))))</f>
      </c>
      <c r="C194" s="7"/>
      <c r="D194" s="7"/>
      <c r="E194" s="8">
        <f>IF(C194="","",IFERROR(VLOOKUP(C194,Insumos!$A:$I,9,FALSE),IFERROR(VLOOKUP(C194,Preparos!$A:$D,4,FALSE),IFERROR(IF(ISNUMBER(MATCH(C194,Fichas!$A:$A,0)),"un",""),""))))</f>
      </c>
      <c r="F194" s="8">
        <f>IF(C194="","",IFERROR(VLOOKUP(C194,Insumos!$A:$G,7,FALSE),100))</f>
      </c>
      <c r="G194" s="9">
        <f>IF(C194="","",IFERROR(VLOOKUP(C194,Insumos!$A:$J,10,FALSE),IFERROR(VLOOKUP(C194,Preparos!$A:$F,6,FALSE),IFERROR(VLOOKUP(C194,Fichas!$A:$D,4,FALSE),0))))</f>
      </c>
      <c r="H194" s="10">
        <f>IF(OR(D194="",G194="",F194=0),"",D194*G194*(100/F194))</f>
      </c>
      <c r="I194" s="5"/>
    </row>
    <row r="195" spans="1:9" x14ac:dyDescent="0.25">
      <c r="A195" s="7"/>
      <c r="B195" s="8">
        <f>IF(C195="","",IF(ISNUMBER(MATCH(C195,Insumos!$A:$A,0)),"insumo",IF(ISNUMBER(MATCH(C195,Preparos!$A:$A,0)),"preparo",IF(ISNUMBER(MATCH(C195,Fichas!$A:$A,0)),"ficha",""))))</f>
      </c>
      <c r="C195" s="7"/>
      <c r="D195" s="7"/>
      <c r="E195" s="8">
        <f>IF(C195="","",IFERROR(VLOOKUP(C195,Insumos!$A:$I,9,FALSE),IFERROR(VLOOKUP(C195,Preparos!$A:$D,4,FALSE),IFERROR(IF(ISNUMBER(MATCH(C195,Fichas!$A:$A,0)),"un",""),""))))</f>
      </c>
      <c r="F195" s="8">
        <f>IF(C195="","",IFERROR(VLOOKUP(C195,Insumos!$A:$G,7,FALSE),100))</f>
      </c>
      <c r="G195" s="9">
        <f>IF(C195="","",IFERROR(VLOOKUP(C195,Insumos!$A:$J,10,FALSE),IFERROR(VLOOKUP(C195,Preparos!$A:$F,6,FALSE),IFERROR(VLOOKUP(C195,Fichas!$A:$D,4,FALSE),0))))</f>
      </c>
      <c r="H195" s="10">
        <f>IF(OR(D195="",G195="",F195=0),"",D195*G195*(100/F195))</f>
      </c>
      <c r="I195" s="5"/>
    </row>
    <row r="196" spans="1:9" x14ac:dyDescent="0.25">
      <c r="A196" s="7"/>
      <c r="B196" s="8">
        <f>IF(C196="","",IF(ISNUMBER(MATCH(C196,Insumos!$A:$A,0)),"insumo",IF(ISNUMBER(MATCH(C196,Preparos!$A:$A,0)),"preparo",IF(ISNUMBER(MATCH(C196,Fichas!$A:$A,0)),"ficha",""))))</f>
      </c>
      <c r="C196" s="7"/>
      <c r="D196" s="7"/>
      <c r="E196" s="8">
        <f>IF(C196="","",IFERROR(VLOOKUP(C196,Insumos!$A:$I,9,FALSE),IFERROR(VLOOKUP(C196,Preparos!$A:$D,4,FALSE),IFERROR(IF(ISNUMBER(MATCH(C196,Fichas!$A:$A,0)),"un",""),""))))</f>
      </c>
      <c r="F196" s="8">
        <f>IF(C196="","",IFERROR(VLOOKUP(C196,Insumos!$A:$G,7,FALSE),100))</f>
      </c>
      <c r="G196" s="9">
        <f>IF(C196="","",IFERROR(VLOOKUP(C196,Insumos!$A:$J,10,FALSE),IFERROR(VLOOKUP(C196,Preparos!$A:$F,6,FALSE),IFERROR(VLOOKUP(C196,Fichas!$A:$D,4,FALSE),0))))</f>
      </c>
      <c r="H196" s="10">
        <f>IF(OR(D196="",G196="",F196=0),"",D196*G196*(100/F196))</f>
      </c>
      <c r="I196" s="5"/>
    </row>
    <row r="197" spans="1:9" x14ac:dyDescent="0.25">
      <c r="A197" s="7"/>
      <c r="B197" s="8">
        <f>IF(C197="","",IF(ISNUMBER(MATCH(C197,Insumos!$A:$A,0)),"insumo",IF(ISNUMBER(MATCH(C197,Preparos!$A:$A,0)),"preparo",IF(ISNUMBER(MATCH(C197,Fichas!$A:$A,0)),"ficha",""))))</f>
      </c>
      <c r="C197" s="7"/>
      <c r="D197" s="7"/>
      <c r="E197" s="8">
        <f>IF(C197="","",IFERROR(VLOOKUP(C197,Insumos!$A:$I,9,FALSE),IFERROR(VLOOKUP(C197,Preparos!$A:$D,4,FALSE),IFERROR(IF(ISNUMBER(MATCH(C197,Fichas!$A:$A,0)),"un",""),""))))</f>
      </c>
      <c r="F197" s="8">
        <f>IF(C197="","",IFERROR(VLOOKUP(C197,Insumos!$A:$G,7,FALSE),100))</f>
      </c>
      <c r="G197" s="9">
        <f>IF(C197="","",IFERROR(VLOOKUP(C197,Insumos!$A:$J,10,FALSE),IFERROR(VLOOKUP(C197,Preparos!$A:$F,6,FALSE),IFERROR(VLOOKUP(C197,Fichas!$A:$D,4,FALSE),0))))</f>
      </c>
      <c r="H197" s="10">
        <f>IF(OR(D197="",G197="",F197=0),"",D197*G197*(100/F197))</f>
      </c>
      <c r="I197" s="5"/>
    </row>
    <row r="198" spans="1:9" x14ac:dyDescent="0.25">
      <c r="A198" s="7"/>
      <c r="B198" s="8">
        <f>IF(C198="","",IF(ISNUMBER(MATCH(C198,Insumos!$A:$A,0)),"insumo",IF(ISNUMBER(MATCH(C198,Preparos!$A:$A,0)),"preparo",IF(ISNUMBER(MATCH(C198,Fichas!$A:$A,0)),"ficha",""))))</f>
      </c>
      <c r="C198" s="7"/>
      <c r="D198" s="7"/>
      <c r="E198" s="8">
        <f>IF(C198="","",IFERROR(VLOOKUP(C198,Insumos!$A:$I,9,FALSE),IFERROR(VLOOKUP(C198,Preparos!$A:$D,4,FALSE),IFERROR(IF(ISNUMBER(MATCH(C198,Fichas!$A:$A,0)),"un",""),""))))</f>
      </c>
      <c r="F198" s="8">
        <f>IF(C198="","",IFERROR(VLOOKUP(C198,Insumos!$A:$G,7,FALSE),100))</f>
      </c>
      <c r="G198" s="9">
        <f>IF(C198="","",IFERROR(VLOOKUP(C198,Insumos!$A:$J,10,FALSE),IFERROR(VLOOKUP(C198,Preparos!$A:$F,6,FALSE),IFERROR(VLOOKUP(C198,Fichas!$A:$D,4,FALSE),0))))</f>
      </c>
      <c r="H198" s="10">
        <f>IF(OR(D198="",G198="",F198=0),"",D198*G198*(100/F198))</f>
      </c>
      <c r="I198" s="5"/>
    </row>
    <row r="199" spans="1:9" x14ac:dyDescent="0.25">
      <c r="A199" s="7"/>
      <c r="B199" s="8">
        <f>IF(C199="","",IF(ISNUMBER(MATCH(C199,Insumos!$A:$A,0)),"insumo",IF(ISNUMBER(MATCH(C199,Preparos!$A:$A,0)),"preparo",IF(ISNUMBER(MATCH(C199,Fichas!$A:$A,0)),"ficha",""))))</f>
      </c>
      <c r="C199" s="7"/>
      <c r="D199" s="7"/>
      <c r="E199" s="8">
        <f>IF(C199="","",IFERROR(VLOOKUP(C199,Insumos!$A:$I,9,FALSE),IFERROR(VLOOKUP(C199,Preparos!$A:$D,4,FALSE),IFERROR(IF(ISNUMBER(MATCH(C199,Fichas!$A:$A,0)),"un",""),""))))</f>
      </c>
      <c r="F199" s="8">
        <f>IF(C199="","",IFERROR(VLOOKUP(C199,Insumos!$A:$G,7,FALSE),100))</f>
      </c>
      <c r="G199" s="9">
        <f>IF(C199="","",IFERROR(VLOOKUP(C199,Insumos!$A:$J,10,FALSE),IFERROR(VLOOKUP(C199,Preparos!$A:$F,6,FALSE),IFERROR(VLOOKUP(C199,Fichas!$A:$D,4,FALSE),0))))</f>
      </c>
      <c r="H199" s="10">
        <f>IF(OR(D199="",G199="",F199=0),"",D199*G199*(100/F199))</f>
      </c>
      <c r="I199" s="5"/>
    </row>
    <row r="200" spans="1:9" x14ac:dyDescent="0.25">
      <c r="A200" s="7"/>
      <c r="B200" s="8">
        <f>IF(C200="","",IF(ISNUMBER(MATCH(C200,Insumos!$A:$A,0)),"insumo",IF(ISNUMBER(MATCH(C200,Preparos!$A:$A,0)),"preparo",IF(ISNUMBER(MATCH(C200,Fichas!$A:$A,0)),"ficha",""))))</f>
      </c>
      <c r="C200" s="7"/>
      <c r="D200" s="7"/>
      <c r="E200" s="8">
        <f>IF(C200="","",IFERROR(VLOOKUP(C200,Insumos!$A:$I,9,FALSE),IFERROR(VLOOKUP(C200,Preparos!$A:$D,4,FALSE),IFERROR(IF(ISNUMBER(MATCH(C200,Fichas!$A:$A,0)),"un",""),""))))</f>
      </c>
      <c r="F200" s="8">
        <f>IF(C200="","",IFERROR(VLOOKUP(C200,Insumos!$A:$G,7,FALSE),100))</f>
      </c>
      <c r="G200" s="9">
        <f>IF(C200="","",IFERROR(VLOOKUP(C200,Insumos!$A:$J,10,FALSE),IFERROR(VLOOKUP(C200,Preparos!$A:$F,6,FALSE),IFERROR(VLOOKUP(C200,Fichas!$A:$D,4,FALSE),0))))</f>
      </c>
      <c r="H200" s="10">
        <f>IF(OR(D200="",G200="",F200=0),"",D200*G200*(100/F200))</f>
      </c>
      <c r="I200" s="5"/>
    </row>
    <row r="201" spans="1:9" x14ac:dyDescent="0.25">
      <c r="A201" s="7"/>
      <c r="B201" s="8">
        <f>IF(C201="","",IF(ISNUMBER(MATCH(C201,Insumos!$A:$A,0)),"insumo",IF(ISNUMBER(MATCH(C201,Preparos!$A:$A,0)),"preparo",IF(ISNUMBER(MATCH(C201,Fichas!$A:$A,0)),"ficha",""))))</f>
      </c>
      <c r="C201" s="7"/>
      <c r="D201" s="7"/>
      <c r="E201" s="8">
        <f>IF(C201="","",IFERROR(VLOOKUP(C201,Insumos!$A:$I,9,FALSE),IFERROR(VLOOKUP(C201,Preparos!$A:$D,4,FALSE),IFERROR(IF(ISNUMBER(MATCH(C201,Fichas!$A:$A,0)),"un",""),""))))</f>
      </c>
      <c r="F201" s="8">
        <f>IF(C201="","",IFERROR(VLOOKUP(C201,Insumos!$A:$G,7,FALSE),100))</f>
      </c>
      <c r="G201" s="9">
        <f>IF(C201="","",IFERROR(VLOOKUP(C201,Insumos!$A:$J,10,FALSE),IFERROR(VLOOKUP(C201,Preparos!$A:$F,6,FALSE),IFERROR(VLOOKUP(C201,Fichas!$A:$D,4,FALSE),0))))</f>
      </c>
      <c r="H201" s="10">
        <f>IF(OR(D201="",G201="",F201=0),"",D201*G201*(100/F201))</f>
      </c>
      <c r="I201" s="5"/>
    </row>
    <row r="202" spans="1:9" x14ac:dyDescent="0.25">
      <c r="A202" s="7"/>
      <c r="B202" s="8">
        <f>IF(C202="","",IF(ISNUMBER(MATCH(C202,Insumos!$A:$A,0)),"insumo",IF(ISNUMBER(MATCH(C202,Preparos!$A:$A,0)),"preparo",IF(ISNUMBER(MATCH(C202,Fichas!$A:$A,0)),"ficha",""))))</f>
      </c>
      <c r="C202" s="7"/>
      <c r="D202" s="7"/>
      <c r="E202" s="8">
        <f>IF(C202="","",IFERROR(VLOOKUP(C202,Insumos!$A:$I,9,FALSE),IFERROR(VLOOKUP(C202,Preparos!$A:$D,4,FALSE),IFERROR(IF(ISNUMBER(MATCH(C202,Fichas!$A:$A,0)),"un",""),""))))</f>
      </c>
      <c r="F202" s="8">
        <f>IF(C202="","",IFERROR(VLOOKUP(C202,Insumos!$A:$G,7,FALSE),100))</f>
      </c>
      <c r="G202" s="9">
        <f>IF(C202="","",IFERROR(VLOOKUP(C202,Insumos!$A:$J,10,FALSE),IFERROR(VLOOKUP(C202,Preparos!$A:$F,6,FALSE),IFERROR(VLOOKUP(C202,Fichas!$A:$D,4,FALSE),0))))</f>
      </c>
      <c r="H202" s="10">
        <f>IF(OR(D202="",G202="",F202=0),"",D202*G202*(100/F202))</f>
      </c>
      <c r="I202" s="5"/>
    </row>
    <row r="203" spans="1:9" x14ac:dyDescent="0.25">
      <c r="A203" s="7"/>
      <c r="B203" s="8">
        <f>IF(C203="","",IF(ISNUMBER(MATCH(C203,Insumos!$A:$A,0)),"insumo",IF(ISNUMBER(MATCH(C203,Preparos!$A:$A,0)),"preparo",IF(ISNUMBER(MATCH(C203,Fichas!$A:$A,0)),"ficha",""))))</f>
      </c>
      <c r="C203" s="7"/>
      <c r="D203" s="7"/>
      <c r="E203" s="8">
        <f>IF(C203="","",IFERROR(VLOOKUP(C203,Insumos!$A:$I,9,FALSE),IFERROR(VLOOKUP(C203,Preparos!$A:$D,4,FALSE),IFERROR(IF(ISNUMBER(MATCH(C203,Fichas!$A:$A,0)),"un",""),""))))</f>
      </c>
      <c r="F203" s="8">
        <f>IF(C203="","",IFERROR(VLOOKUP(C203,Insumos!$A:$G,7,FALSE),100))</f>
      </c>
      <c r="G203" s="9">
        <f>IF(C203="","",IFERROR(VLOOKUP(C203,Insumos!$A:$J,10,FALSE),IFERROR(VLOOKUP(C203,Preparos!$A:$F,6,FALSE),IFERROR(VLOOKUP(C203,Fichas!$A:$D,4,FALSE),0))))</f>
      </c>
      <c r="H203" s="10">
        <f>IF(OR(D203="",G203="",F203=0),"",D203*G203*(100/F203))</f>
      </c>
      <c r="I203" s="5"/>
    </row>
    <row r="204" spans="1:9" x14ac:dyDescent="0.25">
      <c r="A204" s="7"/>
      <c r="B204" s="8">
        <f>IF(C204="","",IF(ISNUMBER(MATCH(C204,Insumos!$A:$A,0)),"insumo",IF(ISNUMBER(MATCH(C204,Preparos!$A:$A,0)),"preparo",IF(ISNUMBER(MATCH(C204,Fichas!$A:$A,0)),"ficha",""))))</f>
      </c>
      <c r="C204" s="7"/>
      <c r="D204" s="7"/>
      <c r="E204" s="8">
        <f>IF(C204="","",IFERROR(VLOOKUP(C204,Insumos!$A:$I,9,FALSE),IFERROR(VLOOKUP(C204,Preparos!$A:$D,4,FALSE),IFERROR(IF(ISNUMBER(MATCH(C204,Fichas!$A:$A,0)),"un",""),""))))</f>
      </c>
      <c r="F204" s="8">
        <f>IF(C204="","",IFERROR(VLOOKUP(C204,Insumos!$A:$G,7,FALSE),100))</f>
      </c>
      <c r="G204" s="9">
        <f>IF(C204="","",IFERROR(VLOOKUP(C204,Insumos!$A:$J,10,FALSE),IFERROR(VLOOKUP(C204,Preparos!$A:$F,6,FALSE),IFERROR(VLOOKUP(C204,Fichas!$A:$D,4,FALSE),0))))</f>
      </c>
      <c r="H204" s="10">
        <f>IF(OR(D204="",G204="",F204=0),"",D204*G204*(100/F204))</f>
      </c>
      <c r="I204" s="5"/>
    </row>
    <row r="205" spans="1:9" x14ac:dyDescent="0.25">
      <c r="A205" s="7"/>
      <c r="B205" s="8">
        <f>IF(C205="","",IF(ISNUMBER(MATCH(C205,Insumos!$A:$A,0)),"insumo",IF(ISNUMBER(MATCH(C205,Preparos!$A:$A,0)),"preparo",IF(ISNUMBER(MATCH(C205,Fichas!$A:$A,0)),"ficha",""))))</f>
      </c>
      <c r="C205" s="7"/>
      <c r="D205" s="7"/>
      <c r="E205" s="8">
        <f>IF(C205="","",IFERROR(VLOOKUP(C205,Insumos!$A:$I,9,FALSE),IFERROR(VLOOKUP(C205,Preparos!$A:$D,4,FALSE),IFERROR(IF(ISNUMBER(MATCH(C205,Fichas!$A:$A,0)),"un",""),""))))</f>
      </c>
      <c r="F205" s="8">
        <f>IF(C205="","",IFERROR(VLOOKUP(C205,Insumos!$A:$G,7,FALSE),100))</f>
      </c>
      <c r="G205" s="9">
        <f>IF(C205="","",IFERROR(VLOOKUP(C205,Insumos!$A:$J,10,FALSE),IFERROR(VLOOKUP(C205,Preparos!$A:$F,6,FALSE),IFERROR(VLOOKUP(C205,Fichas!$A:$D,4,FALSE),0))))</f>
      </c>
      <c r="H205" s="10">
        <f>IF(OR(D205="",G205="",F205=0),"",D205*G205*(100/F205))</f>
      </c>
      <c r="I205" s="5"/>
    </row>
    <row r="206" spans="1:9" x14ac:dyDescent="0.25">
      <c r="A206" s="7"/>
      <c r="B206" s="8">
        <f>IF(C206="","",IF(ISNUMBER(MATCH(C206,Insumos!$A:$A,0)),"insumo",IF(ISNUMBER(MATCH(C206,Preparos!$A:$A,0)),"preparo",IF(ISNUMBER(MATCH(C206,Fichas!$A:$A,0)),"ficha",""))))</f>
      </c>
      <c r="C206" s="7"/>
      <c r="D206" s="7"/>
      <c r="E206" s="8">
        <f>IF(C206="","",IFERROR(VLOOKUP(C206,Insumos!$A:$I,9,FALSE),IFERROR(VLOOKUP(C206,Preparos!$A:$D,4,FALSE),IFERROR(IF(ISNUMBER(MATCH(C206,Fichas!$A:$A,0)),"un",""),""))))</f>
      </c>
      <c r="F206" s="8">
        <f>IF(C206="","",IFERROR(VLOOKUP(C206,Insumos!$A:$G,7,FALSE),100))</f>
      </c>
      <c r="G206" s="9">
        <f>IF(C206="","",IFERROR(VLOOKUP(C206,Insumos!$A:$J,10,FALSE),IFERROR(VLOOKUP(C206,Preparos!$A:$F,6,FALSE),IFERROR(VLOOKUP(C206,Fichas!$A:$D,4,FALSE),0))))</f>
      </c>
      <c r="H206" s="10">
        <f>IF(OR(D206="",G206="",F206=0),"",D206*G206*(100/F206))</f>
      </c>
      <c r="I206" s="5"/>
    </row>
    <row r="207" spans="1:9" x14ac:dyDescent="0.25">
      <c r="A207" s="7"/>
      <c r="B207" s="8">
        <f>IF(C207="","",IF(ISNUMBER(MATCH(C207,Insumos!$A:$A,0)),"insumo",IF(ISNUMBER(MATCH(C207,Preparos!$A:$A,0)),"preparo",IF(ISNUMBER(MATCH(C207,Fichas!$A:$A,0)),"ficha",""))))</f>
      </c>
      <c r="C207" s="7"/>
      <c r="D207" s="7"/>
      <c r="E207" s="8">
        <f>IF(C207="","",IFERROR(VLOOKUP(C207,Insumos!$A:$I,9,FALSE),IFERROR(VLOOKUP(C207,Preparos!$A:$D,4,FALSE),IFERROR(IF(ISNUMBER(MATCH(C207,Fichas!$A:$A,0)),"un",""),""))))</f>
      </c>
      <c r="F207" s="8">
        <f>IF(C207="","",IFERROR(VLOOKUP(C207,Insumos!$A:$G,7,FALSE),100))</f>
      </c>
      <c r="G207" s="9">
        <f>IF(C207="","",IFERROR(VLOOKUP(C207,Insumos!$A:$J,10,FALSE),IFERROR(VLOOKUP(C207,Preparos!$A:$F,6,FALSE),IFERROR(VLOOKUP(C207,Fichas!$A:$D,4,FALSE),0))))</f>
      </c>
      <c r="H207" s="10">
        <f>IF(OR(D207="",G207="",F207=0),"",D207*G207*(100/F207))</f>
      </c>
      <c r="I207" s="5"/>
    </row>
    <row r="208" spans="1:9" x14ac:dyDescent="0.25">
      <c r="A208" s="7"/>
      <c r="B208" s="8">
        <f>IF(C208="","",IF(ISNUMBER(MATCH(C208,Insumos!$A:$A,0)),"insumo",IF(ISNUMBER(MATCH(C208,Preparos!$A:$A,0)),"preparo",IF(ISNUMBER(MATCH(C208,Fichas!$A:$A,0)),"ficha",""))))</f>
      </c>
      <c r="C208" s="7"/>
      <c r="D208" s="7"/>
      <c r="E208" s="8">
        <f>IF(C208="","",IFERROR(VLOOKUP(C208,Insumos!$A:$I,9,FALSE),IFERROR(VLOOKUP(C208,Preparos!$A:$D,4,FALSE),IFERROR(IF(ISNUMBER(MATCH(C208,Fichas!$A:$A,0)),"un",""),""))))</f>
      </c>
      <c r="F208" s="8">
        <f>IF(C208="","",IFERROR(VLOOKUP(C208,Insumos!$A:$G,7,FALSE),100))</f>
      </c>
      <c r="G208" s="9">
        <f>IF(C208="","",IFERROR(VLOOKUP(C208,Insumos!$A:$J,10,FALSE),IFERROR(VLOOKUP(C208,Preparos!$A:$F,6,FALSE),IFERROR(VLOOKUP(C208,Fichas!$A:$D,4,FALSE),0))))</f>
      </c>
      <c r="H208" s="10">
        <f>IF(OR(D208="",G208="",F208=0),"",D208*G208*(100/F208))</f>
      </c>
      <c r="I208" s="5"/>
    </row>
    <row r="209" spans="1:9" x14ac:dyDescent="0.25">
      <c r="A209" s="7"/>
      <c r="B209" s="8">
        <f>IF(C209="","",IF(ISNUMBER(MATCH(C209,Insumos!$A:$A,0)),"insumo",IF(ISNUMBER(MATCH(C209,Preparos!$A:$A,0)),"preparo",IF(ISNUMBER(MATCH(C209,Fichas!$A:$A,0)),"ficha",""))))</f>
      </c>
      <c r="C209" s="7"/>
      <c r="D209" s="7"/>
      <c r="E209" s="8">
        <f>IF(C209="","",IFERROR(VLOOKUP(C209,Insumos!$A:$I,9,FALSE),IFERROR(VLOOKUP(C209,Preparos!$A:$D,4,FALSE),IFERROR(IF(ISNUMBER(MATCH(C209,Fichas!$A:$A,0)),"un",""),""))))</f>
      </c>
      <c r="F209" s="8">
        <f>IF(C209="","",IFERROR(VLOOKUP(C209,Insumos!$A:$G,7,FALSE),100))</f>
      </c>
      <c r="G209" s="9">
        <f>IF(C209="","",IFERROR(VLOOKUP(C209,Insumos!$A:$J,10,FALSE),IFERROR(VLOOKUP(C209,Preparos!$A:$F,6,FALSE),IFERROR(VLOOKUP(C209,Fichas!$A:$D,4,FALSE),0))))</f>
      </c>
      <c r="H209" s="10">
        <f>IF(OR(D209="",G209="",F209=0),"",D209*G209*(100/F209))</f>
      </c>
      <c r="I209" s="5"/>
    </row>
    <row r="210" spans="1:9" x14ac:dyDescent="0.25">
      <c r="A210" s="7"/>
      <c r="B210" s="8">
        <f>IF(C210="","",IF(ISNUMBER(MATCH(C210,Insumos!$A:$A,0)),"insumo",IF(ISNUMBER(MATCH(C210,Preparos!$A:$A,0)),"preparo",IF(ISNUMBER(MATCH(C210,Fichas!$A:$A,0)),"ficha",""))))</f>
      </c>
      <c r="C210" s="7"/>
      <c r="D210" s="7"/>
      <c r="E210" s="8">
        <f>IF(C210="","",IFERROR(VLOOKUP(C210,Insumos!$A:$I,9,FALSE),IFERROR(VLOOKUP(C210,Preparos!$A:$D,4,FALSE),IFERROR(IF(ISNUMBER(MATCH(C210,Fichas!$A:$A,0)),"un",""),""))))</f>
      </c>
      <c r="F210" s="8">
        <f>IF(C210="","",IFERROR(VLOOKUP(C210,Insumos!$A:$G,7,FALSE),100))</f>
      </c>
      <c r="G210" s="9">
        <f>IF(C210="","",IFERROR(VLOOKUP(C210,Insumos!$A:$J,10,FALSE),IFERROR(VLOOKUP(C210,Preparos!$A:$F,6,FALSE),IFERROR(VLOOKUP(C210,Fichas!$A:$D,4,FALSE),0))))</f>
      </c>
      <c r="H210" s="10">
        <f>IF(OR(D210="",G210="",F210=0),"",D210*G210*(100/F210))</f>
      </c>
      <c r="I210" s="5"/>
    </row>
    <row r="211" spans="1:9" x14ac:dyDescent="0.25">
      <c r="A211" s="7"/>
      <c r="B211" s="8">
        <f>IF(C211="","",IF(ISNUMBER(MATCH(C211,Insumos!$A:$A,0)),"insumo",IF(ISNUMBER(MATCH(C211,Preparos!$A:$A,0)),"preparo",IF(ISNUMBER(MATCH(C211,Fichas!$A:$A,0)),"ficha",""))))</f>
      </c>
      <c r="C211" s="7"/>
      <c r="D211" s="7"/>
      <c r="E211" s="8">
        <f>IF(C211="","",IFERROR(VLOOKUP(C211,Insumos!$A:$I,9,FALSE),IFERROR(VLOOKUP(C211,Preparos!$A:$D,4,FALSE),IFERROR(IF(ISNUMBER(MATCH(C211,Fichas!$A:$A,0)),"un",""),""))))</f>
      </c>
      <c r="F211" s="8">
        <f>IF(C211="","",IFERROR(VLOOKUP(C211,Insumos!$A:$G,7,FALSE),100))</f>
      </c>
      <c r="G211" s="9">
        <f>IF(C211="","",IFERROR(VLOOKUP(C211,Insumos!$A:$J,10,FALSE),IFERROR(VLOOKUP(C211,Preparos!$A:$F,6,FALSE),IFERROR(VLOOKUP(C211,Fichas!$A:$D,4,FALSE),0))))</f>
      </c>
      <c r="H211" s="10">
        <f>IF(OR(D211="",G211="",F211=0),"",D211*G211*(100/F211))</f>
      </c>
      <c r="I211" s="5"/>
    </row>
    <row r="212" spans="1:9" x14ac:dyDescent="0.25">
      <c r="A212" s="7"/>
      <c r="B212" s="8">
        <f>IF(C212="","",IF(ISNUMBER(MATCH(C212,Insumos!$A:$A,0)),"insumo",IF(ISNUMBER(MATCH(C212,Preparos!$A:$A,0)),"preparo",IF(ISNUMBER(MATCH(C212,Fichas!$A:$A,0)),"ficha",""))))</f>
      </c>
      <c r="C212" s="7"/>
      <c r="D212" s="7"/>
      <c r="E212" s="8">
        <f>IF(C212="","",IFERROR(VLOOKUP(C212,Insumos!$A:$I,9,FALSE),IFERROR(VLOOKUP(C212,Preparos!$A:$D,4,FALSE),IFERROR(IF(ISNUMBER(MATCH(C212,Fichas!$A:$A,0)),"un",""),""))))</f>
      </c>
      <c r="F212" s="8">
        <f>IF(C212="","",IFERROR(VLOOKUP(C212,Insumos!$A:$G,7,FALSE),100))</f>
      </c>
      <c r="G212" s="9">
        <f>IF(C212="","",IFERROR(VLOOKUP(C212,Insumos!$A:$J,10,FALSE),IFERROR(VLOOKUP(C212,Preparos!$A:$F,6,FALSE),IFERROR(VLOOKUP(C212,Fichas!$A:$D,4,FALSE),0))))</f>
      </c>
      <c r="H212" s="10">
        <f>IF(OR(D212="",G212="",F212=0),"",D212*G212*(100/F212))</f>
      </c>
      <c r="I212" s="5"/>
    </row>
    <row r="213" spans="1:9" x14ac:dyDescent="0.25">
      <c r="A213" s="7"/>
      <c r="B213" s="8">
        <f>IF(C213="","",IF(ISNUMBER(MATCH(C213,Insumos!$A:$A,0)),"insumo",IF(ISNUMBER(MATCH(C213,Preparos!$A:$A,0)),"preparo",IF(ISNUMBER(MATCH(C213,Fichas!$A:$A,0)),"ficha",""))))</f>
      </c>
      <c r="C213" s="7"/>
      <c r="D213" s="7"/>
      <c r="E213" s="8">
        <f>IF(C213="","",IFERROR(VLOOKUP(C213,Insumos!$A:$I,9,FALSE),IFERROR(VLOOKUP(C213,Preparos!$A:$D,4,FALSE),IFERROR(IF(ISNUMBER(MATCH(C213,Fichas!$A:$A,0)),"un",""),""))))</f>
      </c>
      <c r="F213" s="8">
        <f>IF(C213="","",IFERROR(VLOOKUP(C213,Insumos!$A:$G,7,FALSE),100))</f>
      </c>
      <c r="G213" s="9">
        <f>IF(C213="","",IFERROR(VLOOKUP(C213,Insumos!$A:$J,10,FALSE),IFERROR(VLOOKUP(C213,Preparos!$A:$F,6,FALSE),IFERROR(VLOOKUP(C213,Fichas!$A:$D,4,FALSE),0))))</f>
      </c>
      <c r="H213" s="10">
        <f>IF(OR(D213="",G213="",F213=0),"",D213*G213*(100/F213))</f>
      </c>
      <c r="I213" s="5"/>
    </row>
    <row r="214" spans="1:9" x14ac:dyDescent="0.25">
      <c r="A214" s="7"/>
      <c r="B214" s="8">
        <f>IF(C214="","",IF(ISNUMBER(MATCH(C214,Insumos!$A:$A,0)),"insumo",IF(ISNUMBER(MATCH(C214,Preparos!$A:$A,0)),"preparo",IF(ISNUMBER(MATCH(C214,Fichas!$A:$A,0)),"ficha",""))))</f>
      </c>
      <c r="C214" s="7"/>
      <c r="D214" s="7"/>
      <c r="E214" s="8">
        <f>IF(C214="","",IFERROR(VLOOKUP(C214,Insumos!$A:$I,9,FALSE),IFERROR(VLOOKUP(C214,Preparos!$A:$D,4,FALSE),IFERROR(IF(ISNUMBER(MATCH(C214,Fichas!$A:$A,0)),"un",""),""))))</f>
      </c>
      <c r="F214" s="8">
        <f>IF(C214="","",IFERROR(VLOOKUP(C214,Insumos!$A:$G,7,FALSE),100))</f>
      </c>
      <c r="G214" s="9">
        <f>IF(C214="","",IFERROR(VLOOKUP(C214,Insumos!$A:$J,10,FALSE),IFERROR(VLOOKUP(C214,Preparos!$A:$F,6,FALSE),IFERROR(VLOOKUP(C214,Fichas!$A:$D,4,FALSE),0))))</f>
      </c>
      <c r="H214" s="10">
        <f>IF(OR(D214="",G214="",F214=0),"",D214*G214*(100/F214))</f>
      </c>
      <c r="I214" s="5"/>
    </row>
    <row r="215" spans="1:9" x14ac:dyDescent="0.25">
      <c r="A215" s="7"/>
      <c r="B215" s="8">
        <f>IF(C215="","",IF(ISNUMBER(MATCH(C215,Insumos!$A:$A,0)),"insumo",IF(ISNUMBER(MATCH(C215,Preparos!$A:$A,0)),"preparo",IF(ISNUMBER(MATCH(C215,Fichas!$A:$A,0)),"ficha",""))))</f>
      </c>
      <c r="C215" s="7"/>
      <c r="D215" s="7"/>
      <c r="E215" s="8">
        <f>IF(C215="","",IFERROR(VLOOKUP(C215,Insumos!$A:$I,9,FALSE),IFERROR(VLOOKUP(C215,Preparos!$A:$D,4,FALSE),IFERROR(IF(ISNUMBER(MATCH(C215,Fichas!$A:$A,0)),"un",""),""))))</f>
      </c>
      <c r="F215" s="8">
        <f>IF(C215="","",IFERROR(VLOOKUP(C215,Insumos!$A:$G,7,FALSE),100))</f>
      </c>
      <c r="G215" s="9">
        <f>IF(C215="","",IFERROR(VLOOKUP(C215,Insumos!$A:$J,10,FALSE),IFERROR(VLOOKUP(C215,Preparos!$A:$F,6,FALSE),IFERROR(VLOOKUP(C215,Fichas!$A:$D,4,FALSE),0))))</f>
      </c>
      <c r="H215" s="10">
        <f>IF(OR(D215="",G215="",F215=0),"",D215*G215*(100/F215))</f>
      </c>
      <c r="I215" s="5"/>
    </row>
    <row r="216" spans="1:9" x14ac:dyDescent="0.25">
      <c r="A216" s="7"/>
      <c r="B216" s="8">
        <f>IF(C216="","",IF(ISNUMBER(MATCH(C216,Insumos!$A:$A,0)),"insumo",IF(ISNUMBER(MATCH(C216,Preparos!$A:$A,0)),"preparo",IF(ISNUMBER(MATCH(C216,Fichas!$A:$A,0)),"ficha",""))))</f>
      </c>
      <c r="C216" s="7"/>
      <c r="D216" s="7"/>
      <c r="E216" s="8">
        <f>IF(C216="","",IFERROR(VLOOKUP(C216,Insumos!$A:$I,9,FALSE),IFERROR(VLOOKUP(C216,Preparos!$A:$D,4,FALSE),IFERROR(IF(ISNUMBER(MATCH(C216,Fichas!$A:$A,0)),"un",""),""))))</f>
      </c>
      <c r="F216" s="8">
        <f>IF(C216="","",IFERROR(VLOOKUP(C216,Insumos!$A:$G,7,FALSE),100))</f>
      </c>
      <c r="G216" s="9">
        <f>IF(C216="","",IFERROR(VLOOKUP(C216,Insumos!$A:$J,10,FALSE),IFERROR(VLOOKUP(C216,Preparos!$A:$F,6,FALSE),IFERROR(VLOOKUP(C216,Fichas!$A:$D,4,FALSE),0))))</f>
      </c>
      <c r="H216" s="10">
        <f>IF(OR(D216="",G216="",F216=0),"",D216*G216*(100/F216))</f>
      </c>
      <c r="I216" s="5"/>
    </row>
    <row r="217" spans="1:9" x14ac:dyDescent="0.25">
      <c r="A217" s="7"/>
      <c r="B217" s="8">
        <f>IF(C217="","",IF(ISNUMBER(MATCH(C217,Insumos!$A:$A,0)),"insumo",IF(ISNUMBER(MATCH(C217,Preparos!$A:$A,0)),"preparo",IF(ISNUMBER(MATCH(C217,Fichas!$A:$A,0)),"ficha",""))))</f>
      </c>
      <c r="C217" s="7"/>
      <c r="D217" s="7"/>
      <c r="E217" s="8">
        <f>IF(C217="","",IFERROR(VLOOKUP(C217,Insumos!$A:$I,9,FALSE),IFERROR(VLOOKUP(C217,Preparos!$A:$D,4,FALSE),IFERROR(IF(ISNUMBER(MATCH(C217,Fichas!$A:$A,0)),"un",""),""))))</f>
      </c>
      <c r="F217" s="8">
        <f>IF(C217="","",IFERROR(VLOOKUP(C217,Insumos!$A:$G,7,FALSE),100))</f>
      </c>
      <c r="G217" s="9">
        <f>IF(C217="","",IFERROR(VLOOKUP(C217,Insumos!$A:$J,10,FALSE),IFERROR(VLOOKUP(C217,Preparos!$A:$F,6,FALSE),IFERROR(VLOOKUP(C217,Fichas!$A:$D,4,FALSE),0))))</f>
      </c>
      <c r="H217" s="10">
        <f>IF(OR(D217="",G217="",F217=0),"",D217*G217*(100/F217))</f>
      </c>
      <c r="I217" s="5"/>
    </row>
    <row r="218" spans="1:9" x14ac:dyDescent="0.25">
      <c r="A218" s="7"/>
      <c r="B218" s="8">
        <f>IF(C218="","",IF(ISNUMBER(MATCH(C218,Insumos!$A:$A,0)),"insumo",IF(ISNUMBER(MATCH(C218,Preparos!$A:$A,0)),"preparo",IF(ISNUMBER(MATCH(C218,Fichas!$A:$A,0)),"ficha",""))))</f>
      </c>
      <c r="C218" s="7"/>
      <c r="D218" s="7"/>
      <c r="E218" s="8">
        <f>IF(C218="","",IFERROR(VLOOKUP(C218,Insumos!$A:$I,9,FALSE),IFERROR(VLOOKUP(C218,Preparos!$A:$D,4,FALSE),IFERROR(IF(ISNUMBER(MATCH(C218,Fichas!$A:$A,0)),"un",""),""))))</f>
      </c>
      <c r="F218" s="8">
        <f>IF(C218="","",IFERROR(VLOOKUP(C218,Insumos!$A:$G,7,FALSE),100))</f>
      </c>
      <c r="G218" s="9">
        <f>IF(C218="","",IFERROR(VLOOKUP(C218,Insumos!$A:$J,10,FALSE),IFERROR(VLOOKUP(C218,Preparos!$A:$F,6,FALSE),IFERROR(VLOOKUP(C218,Fichas!$A:$D,4,FALSE),0))))</f>
      </c>
      <c r="H218" s="10">
        <f>IF(OR(D218="",G218="",F218=0),"",D218*G218*(100/F218))</f>
      </c>
      <c r="I218" s="5"/>
    </row>
    <row r="219" spans="1:9" x14ac:dyDescent="0.25">
      <c r="A219" s="7"/>
      <c r="B219" s="8">
        <f>IF(C219="","",IF(ISNUMBER(MATCH(C219,Insumos!$A:$A,0)),"insumo",IF(ISNUMBER(MATCH(C219,Preparos!$A:$A,0)),"preparo",IF(ISNUMBER(MATCH(C219,Fichas!$A:$A,0)),"ficha",""))))</f>
      </c>
      <c r="C219" s="7"/>
      <c r="D219" s="7"/>
      <c r="E219" s="8">
        <f>IF(C219="","",IFERROR(VLOOKUP(C219,Insumos!$A:$I,9,FALSE),IFERROR(VLOOKUP(C219,Preparos!$A:$D,4,FALSE),IFERROR(IF(ISNUMBER(MATCH(C219,Fichas!$A:$A,0)),"un",""),""))))</f>
      </c>
      <c r="F219" s="8">
        <f>IF(C219="","",IFERROR(VLOOKUP(C219,Insumos!$A:$G,7,FALSE),100))</f>
      </c>
      <c r="G219" s="9">
        <f>IF(C219="","",IFERROR(VLOOKUP(C219,Insumos!$A:$J,10,FALSE),IFERROR(VLOOKUP(C219,Preparos!$A:$F,6,FALSE),IFERROR(VLOOKUP(C219,Fichas!$A:$D,4,FALSE),0))))</f>
      </c>
      <c r="H219" s="10">
        <f>IF(OR(D219="",G219="",F219=0),"",D219*G219*(100/F219))</f>
      </c>
      <c r="I219" s="5"/>
    </row>
    <row r="220" spans="1:9" x14ac:dyDescent="0.25">
      <c r="A220" s="7"/>
      <c r="B220" s="8">
        <f>IF(C220="","",IF(ISNUMBER(MATCH(C220,Insumos!$A:$A,0)),"insumo",IF(ISNUMBER(MATCH(C220,Preparos!$A:$A,0)),"preparo",IF(ISNUMBER(MATCH(C220,Fichas!$A:$A,0)),"ficha",""))))</f>
      </c>
      <c r="C220" s="7"/>
      <c r="D220" s="7"/>
      <c r="E220" s="8">
        <f>IF(C220="","",IFERROR(VLOOKUP(C220,Insumos!$A:$I,9,FALSE),IFERROR(VLOOKUP(C220,Preparos!$A:$D,4,FALSE),IFERROR(IF(ISNUMBER(MATCH(C220,Fichas!$A:$A,0)),"un",""),""))))</f>
      </c>
      <c r="F220" s="8">
        <f>IF(C220="","",IFERROR(VLOOKUP(C220,Insumos!$A:$G,7,FALSE),100))</f>
      </c>
      <c r="G220" s="9">
        <f>IF(C220="","",IFERROR(VLOOKUP(C220,Insumos!$A:$J,10,FALSE),IFERROR(VLOOKUP(C220,Preparos!$A:$F,6,FALSE),IFERROR(VLOOKUP(C220,Fichas!$A:$D,4,FALSE),0))))</f>
      </c>
      <c r="H220" s="10">
        <f>IF(OR(D220="",G220="",F220=0),"",D220*G220*(100/F220))</f>
      </c>
      <c r="I220" s="5"/>
    </row>
    <row r="221" spans="1:9" x14ac:dyDescent="0.25">
      <c r="A221" s="7"/>
      <c r="B221" s="8">
        <f>IF(C221="","",IF(ISNUMBER(MATCH(C221,Insumos!$A:$A,0)),"insumo",IF(ISNUMBER(MATCH(C221,Preparos!$A:$A,0)),"preparo",IF(ISNUMBER(MATCH(C221,Fichas!$A:$A,0)),"ficha",""))))</f>
      </c>
      <c r="C221" s="7"/>
      <c r="D221" s="7"/>
      <c r="E221" s="8">
        <f>IF(C221="","",IFERROR(VLOOKUP(C221,Insumos!$A:$I,9,FALSE),IFERROR(VLOOKUP(C221,Preparos!$A:$D,4,FALSE),IFERROR(IF(ISNUMBER(MATCH(C221,Fichas!$A:$A,0)),"un",""),""))))</f>
      </c>
      <c r="F221" s="8">
        <f>IF(C221="","",IFERROR(VLOOKUP(C221,Insumos!$A:$G,7,FALSE),100))</f>
      </c>
      <c r="G221" s="9">
        <f>IF(C221="","",IFERROR(VLOOKUP(C221,Insumos!$A:$J,10,FALSE),IFERROR(VLOOKUP(C221,Preparos!$A:$F,6,FALSE),IFERROR(VLOOKUP(C221,Fichas!$A:$D,4,FALSE),0))))</f>
      </c>
      <c r="H221" s="10">
        <f>IF(OR(D221="",G221="",F221=0),"",D221*G221*(100/F221))</f>
      </c>
      <c r="I221" s="5"/>
    </row>
    <row r="222" spans="1:9" x14ac:dyDescent="0.25">
      <c r="A222" s="7"/>
      <c r="B222" s="8">
        <f>IF(C222="","",IF(ISNUMBER(MATCH(C222,Insumos!$A:$A,0)),"insumo",IF(ISNUMBER(MATCH(C222,Preparos!$A:$A,0)),"preparo",IF(ISNUMBER(MATCH(C222,Fichas!$A:$A,0)),"ficha",""))))</f>
      </c>
      <c r="C222" s="7"/>
      <c r="D222" s="7"/>
      <c r="E222" s="8">
        <f>IF(C222="","",IFERROR(VLOOKUP(C222,Insumos!$A:$I,9,FALSE),IFERROR(VLOOKUP(C222,Preparos!$A:$D,4,FALSE),IFERROR(IF(ISNUMBER(MATCH(C222,Fichas!$A:$A,0)),"un",""),""))))</f>
      </c>
      <c r="F222" s="8">
        <f>IF(C222="","",IFERROR(VLOOKUP(C222,Insumos!$A:$G,7,FALSE),100))</f>
      </c>
      <c r="G222" s="9">
        <f>IF(C222="","",IFERROR(VLOOKUP(C222,Insumos!$A:$J,10,FALSE),IFERROR(VLOOKUP(C222,Preparos!$A:$F,6,FALSE),IFERROR(VLOOKUP(C222,Fichas!$A:$D,4,FALSE),0))))</f>
      </c>
      <c r="H222" s="10">
        <f>IF(OR(D222="",G222="",F222=0),"",D222*G222*(100/F222))</f>
      </c>
      <c r="I222" s="5"/>
    </row>
    <row r="223" spans="1:9" x14ac:dyDescent="0.25">
      <c r="A223" s="7"/>
      <c r="B223" s="8">
        <f>IF(C223="","",IF(ISNUMBER(MATCH(C223,Insumos!$A:$A,0)),"insumo",IF(ISNUMBER(MATCH(C223,Preparos!$A:$A,0)),"preparo",IF(ISNUMBER(MATCH(C223,Fichas!$A:$A,0)),"ficha",""))))</f>
      </c>
      <c r="C223" s="7"/>
      <c r="D223" s="7"/>
      <c r="E223" s="8">
        <f>IF(C223="","",IFERROR(VLOOKUP(C223,Insumos!$A:$I,9,FALSE),IFERROR(VLOOKUP(C223,Preparos!$A:$D,4,FALSE),IFERROR(IF(ISNUMBER(MATCH(C223,Fichas!$A:$A,0)),"un",""),""))))</f>
      </c>
      <c r="F223" s="8">
        <f>IF(C223="","",IFERROR(VLOOKUP(C223,Insumos!$A:$G,7,FALSE),100))</f>
      </c>
      <c r="G223" s="9">
        <f>IF(C223="","",IFERROR(VLOOKUP(C223,Insumos!$A:$J,10,FALSE),IFERROR(VLOOKUP(C223,Preparos!$A:$F,6,FALSE),IFERROR(VLOOKUP(C223,Fichas!$A:$D,4,FALSE),0))))</f>
      </c>
      <c r="H223" s="10">
        <f>IF(OR(D223="",G223="",F223=0),"",D223*G223*(100/F223))</f>
      </c>
      <c r="I223" s="5"/>
    </row>
    <row r="224" spans="1:9" x14ac:dyDescent="0.25">
      <c r="A224" s="7"/>
      <c r="B224" s="8">
        <f>IF(C224="","",IF(ISNUMBER(MATCH(C224,Insumos!$A:$A,0)),"insumo",IF(ISNUMBER(MATCH(C224,Preparos!$A:$A,0)),"preparo",IF(ISNUMBER(MATCH(C224,Fichas!$A:$A,0)),"ficha",""))))</f>
      </c>
      <c r="C224" s="7"/>
      <c r="D224" s="7"/>
      <c r="E224" s="8">
        <f>IF(C224="","",IFERROR(VLOOKUP(C224,Insumos!$A:$I,9,FALSE),IFERROR(VLOOKUP(C224,Preparos!$A:$D,4,FALSE),IFERROR(IF(ISNUMBER(MATCH(C224,Fichas!$A:$A,0)),"un",""),""))))</f>
      </c>
      <c r="F224" s="8">
        <f>IF(C224="","",IFERROR(VLOOKUP(C224,Insumos!$A:$G,7,FALSE),100))</f>
      </c>
      <c r="G224" s="9">
        <f>IF(C224="","",IFERROR(VLOOKUP(C224,Insumos!$A:$J,10,FALSE),IFERROR(VLOOKUP(C224,Preparos!$A:$F,6,FALSE),IFERROR(VLOOKUP(C224,Fichas!$A:$D,4,FALSE),0))))</f>
      </c>
      <c r="H224" s="10">
        <f>IF(OR(D224="",G224="",F224=0),"",D224*G224*(100/F224))</f>
      </c>
      <c r="I224" s="5"/>
    </row>
    <row r="225" spans="1:9" x14ac:dyDescent="0.25">
      <c r="A225" s="7"/>
      <c r="B225" s="8">
        <f>IF(C225="","",IF(ISNUMBER(MATCH(C225,Insumos!$A:$A,0)),"insumo",IF(ISNUMBER(MATCH(C225,Preparos!$A:$A,0)),"preparo",IF(ISNUMBER(MATCH(C225,Fichas!$A:$A,0)),"ficha",""))))</f>
      </c>
      <c r="C225" s="7"/>
      <c r="D225" s="7"/>
      <c r="E225" s="8">
        <f>IF(C225="","",IFERROR(VLOOKUP(C225,Insumos!$A:$I,9,FALSE),IFERROR(VLOOKUP(C225,Preparos!$A:$D,4,FALSE),IFERROR(IF(ISNUMBER(MATCH(C225,Fichas!$A:$A,0)),"un",""),""))))</f>
      </c>
      <c r="F225" s="8">
        <f>IF(C225="","",IFERROR(VLOOKUP(C225,Insumos!$A:$G,7,FALSE),100))</f>
      </c>
      <c r="G225" s="9">
        <f>IF(C225="","",IFERROR(VLOOKUP(C225,Insumos!$A:$J,10,FALSE),IFERROR(VLOOKUP(C225,Preparos!$A:$F,6,FALSE),IFERROR(VLOOKUP(C225,Fichas!$A:$D,4,FALSE),0))))</f>
      </c>
      <c r="H225" s="10">
        <f>IF(OR(D225="",G225="",F225=0),"",D225*G225*(100/F225))</f>
      </c>
      <c r="I225" s="5"/>
    </row>
    <row r="226" spans="1:9" x14ac:dyDescent="0.25">
      <c r="A226" s="7"/>
      <c r="B226" s="8">
        <f>IF(C226="","",IF(ISNUMBER(MATCH(C226,Insumos!$A:$A,0)),"insumo",IF(ISNUMBER(MATCH(C226,Preparos!$A:$A,0)),"preparo",IF(ISNUMBER(MATCH(C226,Fichas!$A:$A,0)),"ficha",""))))</f>
      </c>
      <c r="C226" s="7"/>
      <c r="D226" s="7"/>
      <c r="E226" s="8">
        <f>IF(C226="","",IFERROR(VLOOKUP(C226,Insumos!$A:$I,9,FALSE),IFERROR(VLOOKUP(C226,Preparos!$A:$D,4,FALSE),IFERROR(IF(ISNUMBER(MATCH(C226,Fichas!$A:$A,0)),"un",""),""))))</f>
      </c>
      <c r="F226" s="8">
        <f>IF(C226="","",IFERROR(VLOOKUP(C226,Insumos!$A:$G,7,FALSE),100))</f>
      </c>
      <c r="G226" s="9">
        <f>IF(C226="","",IFERROR(VLOOKUP(C226,Insumos!$A:$J,10,FALSE),IFERROR(VLOOKUP(C226,Preparos!$A:$F,6,FALSE),IFERROR(VLOOKUP(C226,Fichas!$A:$D,4,FALSE),0))))</f>
      </c>
      <c r="H226" s="10">
        <f>IF(OR(D226="",G226="",F226=0),"",D226*G226*(100/F226))</f>
      </c>
      <c r="I226" s="5"/>
    </row>
    <row r="227" spans="1:9" x14ac:dyDescent="0.25">
      <c r="A227" s="7"/>
      <c r="B227" s="8">
        <f>IF(C227="","",IF(ISNUMBER(MATCH(C227,Insumos!$A:$A,0)),"insumo",IF(ISNUMBER(MATCH(C227,Preparos!$A:$A,0)),"preparo",IF(ISNUMBER(MATCH(C227,Fichas!$A:$A,0)),"ficha",""))))</f>
      </c>
      <c r="C227" s="7"/>
      <c r="D227" s="7"/>
      <c r="E227" s="8">
        <f>IF(C227="","",IFERROR(VLOOKUP(C227,Insumos!$A:$I,9,FALSE),IFERROR(VLOOKUP(C227,Preparos!$A:$D,4,FALSE),IFERROR(IF(ISNUMBER(MATCH(C227,Fichas!$A:$A,0)),"un",""),""))))</f>
      </c>
      <c r="F227" s="8">
        <f>IF(C227="","",IFERROR(VLOOKUP(C227,Insumos!$A:$G,7,FALSE),100))</f>
      </c>
      <c r="G227" s="9">
        <f>IF(C227="","",IFERROR(VLOOKUP(C227,Insumos!$A:$J,10,FALSE),IFERROR(VLOOKUP(C227,Preparos!$A:$F,6,FALSE),IFERROR(VLOOKUP(C227,Fichas!$A:$D,4,FALSE),0))))</f>
      </c>
      <c r="H227" s="10">
        <f>IF(OR(D227="",G227="",F227=0),"",D227*G227*(100/F227))</f>
      </c>
      <c r="I227" s="5"/>
    </row>
    <row r="228" spans="1:9" x14ac:dyDescent="0.25">
      <c r="A228" s="7"/>
      <c r="B228" s="8">
        <f>IF(C228="","",IF(ISNUMBER(MATCH(C228,Insumos!$A:$A,0)),"insumo",IF(ISNUMBER(MATCH(C228,Preparos!$A:$A,0)),"preparo",IF(ISNUMBER(MATCH(C228,Fichas!$A:$A,0)),"ficha",""))))</f>
      </c>
      <c r="C228" s="7"/>
      <c r="D228" s="7"/>
      <c r="E228" s="8">
        <f>IF(C228="","",IFERROR(VLOOKUP(C228,Insumos!$A:$I,9,FALSE),IFERROR(VLOOKUP(C228,Preparos!$A:$D,4,FALSE),IFERROR(IF(ISNUMBER(MATCH(C228,Fichas!$A:$A,0)),"un",""),""))))</f>
      </c>
      <c r="F228" s="8">
        <f>IF(C228="","",IFERROR(VLOOKUP(C228,Insumos!$A:$G,7,FALSE),100))</f>
      </c>
      <c r="G228" s="9">
        <f>IF(C228="","",IFERROR(VLOOKUP(C228,Insumos!$A:$J,10,FALSE),IFERROR(VLOOKUP(C228,Preparos!$A:$F,6,FALSE),IFERROR(VLOOKUP(C228,Fichas!$A:$D,4,FALSE),0))))</f>
      </c>
      <c r="H228" s="10">
        <f>IF(OR(D228="",G228="",F228=0),"",D228*G228*(100/F228))</f>
      </c>
      <c r="I228" s="5"/>
    </row>
    <row r="229" spans="1:9" x14ac:dyDescent="0.25">
      <c r="A229" s="7"/>
      <c r="B229" s="8">
        <f>IF(C229="","",IF(ISNUMBER(MATCH(C229,Insumos!$A:$A,0)),"insumo",IF(ISNUMBER(MATCH(C229,Preparos!$A:$A,0)),"preparo",IF(ISNUMBER(MATCH(C229,Fichas!$A:$A,0)),"ficha",""))))</f>
      </c>
      <c r="C229" s="7"/>
      <c r="D229" s="7"/>
      <c r="E229" s="8">
        <f>IF(C229="","",IFERROR(VLOOKUP(C229,Insumos!$A:$I,9,FALSE),IFERROR(VLOOKUP(C229,Preparos!$A:$D,4,FALSE),IFERROR(IF(ISNUMBER(MATCH(C229,Fichas!$A:$A,0)),"un",""),""))))</f>
      </c>
      <c r="F229" s="8">
        <f>IF(C229="","",IFERROR(VLOOKUP(C229,Insumos!$A:$G,7,FALSE),100))</f>
      </c>
      <c r="G229" s="9">
        <f>IF(C229="","",IFERROR(VLOOKUP(C229,Insumos!$A:$J,10,FALSE),IFERROR(VLOOKUP(C229,Preparos!$A:$F,6,FALSE),IFERROR(VLOOKUP(C229,Fichas!$A:$D,4,FALSE),0))))</f>
      </c>
      <c r="H229" s="10">
        <f>IF(OR(D229="",G229="",F229=0),"",D229*G229*(100/F229))</f>
      </c>
      <c r="I229" s="5"/>
    </row>
    <row r="230" spans="1:9" x14ac:dyDescent="0.25">
      <c r="A230" s="7"/>
      <c r="B230" s="8">
        <f>IF(C230="","",IF(ISNUMBER(MATCH(C230,Insumos!$A:$A,0)),"insumo",IF(ISNUMBER(MATCH(C230,Preparos!$A:$A,0)),"preparo",IF(ISNUMBER(MATCH(C230,Fichas!$A:$A,0)),"ficha",""))))</f>
      </c>
      <c r="C230" s="7"/>
      <c r="D230" s="7"/>
      <c r="E230" s="8">
        <f>IF(C230="","",IFERROR(VLOOKUP(C230,Insumos!$A:$I,9,FALSE),IFERROR(VLOOKUP(C230,Preparos!$A:$D,4,FALSE),IFERROR(IF(ISNUMBER(MATCH(C230,Fichas!$A:$A,0)),"un",""),""))))</f>
      </c>
      <c r="F230" s="8">
        <f>IF(C230="","",IFERROR(VLOOKUP(C230,Insumos!$A:$G,7,FALSE),100))</f>
      </c>
      <c r="G230" s="9">
        <f>IF(C230="","",IFERROR(VLOOKUP(C230,Insumos!$A:$J,10,FALSE),IFERROR(VLOOKUP(C230,Preparos!$A:$F,6,FALSE),IFERROR(VLOOKUP(C230,Fichas!$A:$D,4,FALSE),0))))</f>
      </c>
      <c r="H230" s="10">
        <f>IF(OR(D230="",G230="",F230=0),"",D230*G230*(100/F230))</f>
      </c>
      <c r="I230" s="5"/>
    </row>
    <row r="231" spans="1:9" x14ac:dyDescent="0.25">
      <c r="A231" s="7"/>
      <c r="B231" s="8">
        <f>IF(C231="","",IF(ISNUMBER(MATCH(C231,Insumos!$A:$A,0)),"insumo",IF(ISNUMBER(MATCH(C231,Preparos!$A:$A,0)),"preparo",IF(ISNUMBER(MATCH(C231,Fichas!$A:$A,0)),"ficha",""))))</f>
      </c>
      <c r="C231" s="7"/>
      <c r="D231" s="7"/>
      <c r="E231" s="8">
        <f>IF(C231="","",IFERROR(VLOOKUP(C231,Insumos!$A:$I,9,FALSE),IFERROR(VLOOKUP(C231,Preparos!$A:$D,4,FALSE),IFERROR(IF(ISNUMBER(MATCH(C231,Fichas!$A:$A,0)),"un",""),""))))</f>
      </c>
      <c r="F231" s="8">
        <f>IF(C231="","",IFERROR(VLOOKUP(C231,Insumos!$A:$G,7,FALSE),100))</f>
      </c>
      <c r="G231" s="9">
        <f>IF(C231="","",IFERROR(VLOOKUP(C231,Insumos!$A:$J,10,FALSE),IFERROR(VLOOKUP(C231,Preparos!$A:$F,6,FALSE),IFERROR(VLOOKUP(C231,Fichas!$A:$D,4,FALSE),0))))</f>
      </c>
      <c r="H231" s="10">
        <f>IF(OR(D231="",G231="",F231=0),"",D231*G231*(100/F231))</f>
      </c>
      <c r="I231" s="5"/>
    </row>
    <row r="232" spans="1:9" x14ac:dyDescent="0.25">
      <c r="A232" s="7"/>
      <c r="B232" s="8">
        <f>IF(C232="","",IF(ISNUMBER(MATCH(C232,Insumos!$A:$A,0)),"insumo",IF(ISNUMBER(MATCH(C232,Preparos!$A:$A,0)),"preparo",IF(ISNUMBER(MATCH(C232,Fichas!$A:$A,0)),"ficha",""))))</f>
      </c>
      <c r="C232" s="7"/>
      <c r="D232" s="7"/>
      <c r="E232" s="8">
        <f>IF(C232="","",IFERROR(VLOOKUP(C232,Insumos!$A:$I,9,FALSE),IFERROR(VLOOKUP(C232,Preparos!$A:$D,4,FALSE),IFERROR(IF(ISNUMBER(MATCH(C232,Fichas!$A:$A,0)),"un",""),""))))</f>
      </c>
      <c r="F232" s="8">
        <f>IF(C232="","",IFERROR(VLOOKUP(C232,Insumos!$A:$G,7,FALSE),100))</f>
      </c>
      <c r="G232" s="9">
        <f>IF(C232="","",IFERROR(VLOOKUP(C232,Insumos!$A:$J,10,FALSE),IFERROR(VLOOKUP(C232,Preparos!$A:$F,6,FALSE),IFERROR(VLOOKUP(C232,Fichas!$A:$D,4,FALSE),0))))</f>
      </c>
      <c r="H232" s="10">
        <f>IF(OR(D232="",G232="",F232=0),"",D232*G232*(100/F232))</f>
      </c>
      <c r="I232" s="5"/>
    </row>
    <row r="233" spans="1:9" x14ac:dyDescent="0.25">
      <c r="A233" s="7"/>
      <c r="B233" s="8">
        <f>IF(C233="","",IF(ISNUMBER(MATCH(C233,Insumos!$A:$A,0)),"insumo",IF(ISNUMBER(MATCH(C233,Preparos!$A:$A,0)),"preparo",IF(ISNUMBER(MATCH(C233,Fichas!$A:$A,0)),"ficha",""))))</f>
      </c>
      <c r="C233" s="7"/>
      <c r="D233" s="7"/>
      <c r="E233" s="8">
        <f>IF(C233="","",IFERROR(VLOOKUP(C233,Insumos!$A:$I,9,FALSE),IFERROR(VLOOKUP(C233,Preparos!$A:$D,4,FALSE),IFERROR(IF(ISNUMBER(MATCH(C233,Fichas!$A:$A,0)),"un",""),""))))</f>
      </c>
      <c r="F233" s="8">
        <f>IF(C233="","",IFERROR(VLOOKUP(C233,Insumos!$A:$G,7,FALSE),100))</f>
      </c>
      <c r="G233" s="9">
        <f>IF(C233="","",IFERROR(VLOOKUP(C233,Insumos!$A:$J,10,FALSE),IFERROR(VLOOKUP(C233,Preparos!$A:$F,6,FALSE),IFERROR(VLOOKUP(C233,Fichas!$A:$D,4,FALSE),0))))</f>
      </c>
      <c r="H233" s="10">
        <f>IF(OR(D233="",G233="",F233=0),"",D233*G233*(100/F233))</f>
      </c>
      <c r="I233" s="5"/>
    </row>
    <row r="234" spans="1:9" x14ac:dyDescent="0.25">
      <c r="A234" s="7"/>
      <c r="B234" s="8">
        <f>IF(C234="","",IF(ISNUMBER(MATCH(C234,Insumos!$A:$A,0)),"insumo",IF(ISNUMBER(MATCH(C234,Preparos!$A:$A,0)),"preparo",IF(ISNUMBER(MATCH(C234,Fichas!$A:$A,0)),"ficha",""))))</f>
      </c>
      <c r="C234" s="7"/>
      <c r="D234" s="7"/>
      <c r="E234" s="8">
        <f>IF(C234="","",IFERROR(VLOOKUP(C234,Insumos!$A:$I,9,FALSE),IFERROR(VLOOKUP(C234,Preparos!$A:$D,4,FALSE),IFERROR(IF(ISNUMBER(MATCH(C234,Fichas!$A:$A,0)),"un",""),""))))</f>
      </c>
      <c r="F234" s="8">
        <f>IF(C234="","",IFERROR(VLOOKUP(C234,Insumos!$A:$G,7,FALSE),100))</f>
      </c>
      <c r="G234" s="9">
        <f>IF(C234="","",IFERROR(VLOOKUP(C234,Insumos!$A:$J,10,FALSE),IFERROR(VLOOKUP(C234,Preparos!$A:$F,6,FALSE),IFERROR(VLOOKUP(C234,Fichas!$A:$D,4,FALSE),0))))</f>
      </c>
      <c r="H234" s="10">
        <f>IF(OR(D234="",G234="",F234=0),"",D234*G234*(100/F234))</f>
      </c>
      <c r="I234" s="5"/>
    </row>
    <row r="235" spans="1:9" x14ac:dyDescent="0.25">
      <c r="A235" s="7"/>
      <c r="B235" s="8">
        <f>IF(C235="","",IF(ISNUMBER(MATCH(C235,Insumos!$A:$A,0)),"insumo",IF(ISNUMBER(MATCH(C235,Preparos!$A:$A,0)),"preparo",IF(ISNUMBER(MATCH(C235,Fichas!$A:$A,0)),"ficha",""))))</f>
      </c>
      <c r="C235" s="7"/>
      <c r="D235" s="7"/>
      <c r="E235" s="8">
        <f>IF(C235="","",IFERROR(VLOOKUP(C235,Insumos!$A:$I,9,FALSE),IFERROR(VLOOKUP(C235,Preparos!$A:$D,4,FALSE),IFERROR(IF(ISNUMBER(MATCH(C235,Fichas!$A:$A,0)),"un",""),""))))</f>
      </c>
      <c r="F235" s="8">
        <f>IF(C235="","",IFERROR(VLOOKUP(C235,Insumos!$A:$G,7,FALSE),100))</f>
      </c>
      <c r="G235" s="9">
        <f>IF(C235="","",IFERROR(VLOOKUP(C235,Insumos!$A:$J,10,FALSE),IFERROR(VLOOKUP(C235,Preparos!$A:$F,6,FALSE),IFERROR(VLOOKUP(C235,Fichas!$A:$D,4,FALSE),0))))</f>
      </c>
      <c r="H235" s="10">
        <f>IF(OR(D235="",G235="",F235=0),"",D235*G235*(100/F235))</f>
      </c>
      <c r="I235" s="5"/>
    </row>
    <row r="236" spans="1:9" x14ac:dyDescent="0.25">
      <c r="A236" s="7"/>
      <c r="B236" s="8">
        <f>IF(C236="","",IF(ISNUMBER(MATCH(C236,Insumos!$A:$A,0)),"insumo",IF(ISNUMBER(MATCH(C236,Preparos!$A:$A,0)),"preparo",IF(ISNUMBER(MATCH(C236,Fichas!$A:$A,0)),"ficha",""))))</f>
      </c>
      <c r="C236" s="7"/>
      <c r="D236" s="7"/>
      <c r="E236" s="8">
        <f>IF(C236="","",IFERROR(VLOOKUP(C236,Insumos!$A:$I,9,FALSE),IFERROR(VLOOKUP(C236,Preparos!$A:$D,4,FALSE),IFERROR(IF(ISNUMBER(MATCH(C236,Fichas!$A:$A,0)),"un",""),""))))</f>
      </c>
      <c r="F236" s="8">
        <f>IF(C236="","",IFERROR(VLOOKUP(C236,Insumos!$A:$G,7,FALSE),100))</f>
      </c>
      <c r="G236" s="9">
        <f>IF(C236="","",IFERROR(VLOOKUP(C236,Insumos!$A:$J,10,FALSE),IFERROR(VLOOKUP(C236,Preparos!$A:$F,6,FALSE),IFERROR(VLOOKUP(C236,Fichas!$A:$D,4,FALSE),0))))</f>
      </c>
      <c r="H236" s="10">
        <f>IF(OR(D236="",G236="",F236=0),"",D236*G236*(100/F236))</f>
      </c>
      <c r="I236" s="5"/>
    </row>
    <row r="237" spans="1:9" x14ac:dyDescent="0.25">
      <c r="A237" s="7"/>
      <c r="B237" s="8">
        <f>IF(C237="","",IF(ISNUMBER(MATCH(C237,Insumos!$A:$A,0)),"insumo",IF(ISNUMBER(MATCH(C237,Preparos!$A:$A,0)),"preparo",IF(ISNUMBER(MATCH(C237,Fichas!$A:$A,0)),"ficha",""))))</f>
      </c>
      <c r="C237" s="7"/>
      <c r="D237" s="7"/>
      <c r="E237" s="8">
        <f>IF(C237="","",IFERROR(VLOOKUP(C237,Insumos!$A:$I,9,FALSE),IFERROR(VLOOKUP(C237,Preparos!$A:$D,4,FALSE),IFERROR(IF(ISNUMBER(MATCH(C237,Fichas!$A:$A,0)),"un",""),""))))</f>
      </c>
      <c r="F237" s="8">
        <f>IF(C237="","",IFERROR(VLOOKUP(C237,Insumos!$A:$G,7,FALSE),100))</f>
      </c>
      <c r="G237" s="9">
        <f>IF(C237="","",IFERROR(VLOOKUP(C237,Insumos!$A:$J,10,FALSE),IFERROR(VLOOKUP(C237,Preparos!$A:$F,6,FALSE),IFERROR(VLOOKUP(C237,Fichas!$A:$D,4,FALSE),0))))</f>
      </c>
      <c r="H237" s="10">
        <f>IF(OR(D237="",G237="",F237=0),"",D237*G237*(100/F237))</f>
      </c>
      <c r="I237" s="5"/>
    </row>
    <row r="238" spans="1:9" x14ac:dyDescent="0.25">
      <c r="A238" s="7"/>
      <c r="B238" s="8">
        <f>IF(C238="","",IF(ISNUMBER(MATCH(C238,Insumos!$A:$A,0)),"insumo",IF(ISNUMBER(MATCH(C238,Preparos!$A:$A,0)),"preparo",IF(ISNUMBER(MATCH(C238,Fichas!$A:$A,0)),"ficha",""))))</f>
      </c>
      <c r="C238" s="7"/>
      <c r="D238" s="7"/>
      <c r="E238" s="8">
        <f>IF(C238="","",IFERROR(VLOOKUP(C238,Insumos!$A:$I,9,FALSE),IFERROR(VLOOKUP(C238,Preparos!$A:$D,4,FALSE),IFERROR(IF(ISNUMBER(MATCH(C238,Fichas!$A:$A,0)),"un",""),""))))</f>
      </c>
      <c r="F238" s="8">
        <f>IF(C238="","",IFERROR(VLOOKUP(C238,Insumos!$A:$G,7,FALSE),100))</f>
      </c>
      <c r="G238" s="9">
        <f>IF(C238="","",IFERROR(VLOOKUP(C238,Insumos!$A:$J,10,FALSE),IFERROR(VLOOKUP(C238,Preparos!$A:$F,6,FALSE),IFERROR(VLOOKUP(C238,Fichas!$A:$D,4,FALSE),0))))</f>
      </c>
      <c r="H238" s="10">
        <f>IF(OR(D238="",G238="",F238=0),"",D238*G238*(100/F238))</f>
      </c>
      <c r="I238" s="5"/>
    </row>
    <row r="239" spans="1:9" x14ac:dyDescent="0.25">
      <c r="A239" s="7"/>
      <c r="B239" s="8">
        <f>IF(C239="","",IF(ISNUMBER(MATCH(C239,Insumos!$A:$A,0)),"insumo",IF(ISNUMBER(MATCH(C239,Preparos!$A:$A,0)),"preparo",IF(ISNUMBER(MATCH(C239,Fichas!$A:$A,0)),"ficha",""))))</f>
      </c>
      <c r="C239" s="7"/>
      <c r="D239" s="7"/>
      <c r="E239" s="8">
        <f>IF(C239="","",IFERROR(VLOOKUP(C239,Insumos!$A:$I,9,FALSE),IFERROR(VLOOKUP(C239,Preparos!$A:$D,4,FALSE),IFERROR(IF(ISNUMBER(MATCH(C239,Fichas!$A:$A,0)),"un",""),""))))</f>
      </c>
      <c r="F239" s="8">
        <f>IF(C239="","",IFERROR(VLOOKUP(C239,Insumos!$A:$G,7,FALSE),100))</f>
      </c>
      <c r="G239" s="9">
        <f>IF(C239="","",IFERROR(VLOOKUP(C239,Insumos!$A:$J,10,FALSE),IFERROR(VLOOKUP(C239,Preparos!$A:$F,6,FALSE),IFERROR(VLOOKUP(C239,Fichas!$A:$D,4,FALSE),0))))</f>
      </c>
      <c r="H239" s="10">
        <f>IF(OR(D239="",G239="",F239=0),"",D239*G239*(100/F239))</f>
      </c>
      <c r="I239" s="5"/>
    </row>
    <row r="240" spans="1:9" x14ac:dyDescent="0.25">
      <c r="A240" s="7"/>
      <c r="B240" s="8">
        <f>IF(C240="","",IF(ISNUMBER(MATCH(C240,Insumos!$A:$A,0)),"insumo",IF(ISNUMBER(MATCH(C240,Preparos!$A:$A,0)),"preparo",IF(ISNUMBER(MATCH(C240,Fichas!$A:$A,0)),"ficha",""))))</f>
      </c>
      <c r="C240" s="7"/>
      <c r="D240" s="7"/>
      <c r="E240" s="8">
        <f>IF(C240="","",IFERROR(VLOOKUP(C240,Insumos!$A:$I,9,FALSE),IFERROR(VLOOKUP(C240,Preparos!$A:$D,4,FALSE),IFERROR(IF(ISNUMBER(MATCH(C240,Fichas!$A:$A,0)),"un",""),""))))</f>
      </c>
      <c r="F240" s="8">
        <f>IF(C240="","",IFERROR(VLOOKUP(C240,Insumos!$A:$G,7,FALSE),100))</f>
      </c>
      <c r="G240" s="9">
        <f>IF(C240="","",IFERROR(VLOOKUP(C240,Insumos!$A:$J,10,FALSE),IFERROR(VLOOKUP(C240,Preparos!$A:$F,6,FALSE),IFERROR(VLOOKUP(C240,Fichas!$A:$D,4,FALSE),0))))</f>
      </c>
      <c r="H240" s="10">
        <f>IF(OR(D240="",G240="",F240=0),"",D240*G240*(100/F240))</f>
      </c>
      <c r="I240" s="5"/>
    </row>
    <row r="241" spans="1:9" x14ac:dyDescent="0.25">
      <c r="A241" s="7"/>
      <c r="B241" s="8">
        <f>IF(C241="","",IF(ISNUMBER(MATCH(C241,Insumos!$A:$A,0)),"insumo",IF(ISNUMBER(MATCH(C241,Preparos!$A:$A,0)),"preparo",IF(ISNUMBER(MATCH(C241,Fichas!$A:$A,0)),"ficha",""))))</f>
      </c>
      <c r="C241" s="7"/>
      <c r="D241" s="7"/>
      <c r="E241" s="8">
        <f>IF(C241="","",IFERROR(VLOOKUP(C241,Insumos!$A:$I,9,FALSE),IFERROR(VLOOKUP(C241,Preparos!$A:$D,4,FALSE),IFERROR(IF(ISNUMBER(MATCH(C241,Fichas!$A:$A,0)),"un",""),""))))</f>
      </c>
      <c r="F241" s="8">
        <f>IF(C241="","",IFERROR(VLOOKUP(C241,Insumos!$A:$G,7,FALSE),100))</f>
      </c>
      <c r="G241" s="9">
        <f>IF(C241="","",IFERROR(VLOOKUP(C241,Insumos!$A:$J,10,FALSE),IFERROR(VLOOKUP(C241,Preparos!$A:$F,6,FALSE),IFERROR(VLOOKUP(C241,Fichas!$A:$D,4,FALSE),0))))</f>
      </c>
      <c r="H241" s="10">
        <f>IF(OR(D241="",G241="",F241=0),"",D241*G241*(100/F241))</f>
      </c>
      <c r="I241" s="5"/>
    </row>
    <row r="242" spans="1:9" x14ac:dyDescent="0.25">
      <c r="A242" s="7"/>
      <c r="B242" s="8">
        <f>IF(C242="","",IF(ISNUMBER(MATCH(C242,Insumos!$A:$A,0)),"insumo",IF(ISNUMBER(MATCH(C242,Preparos!$A:$A,0)),"preparo",IF(ISNUMBER(MATCH(C242,Fichas!$A:$A,0)),"ficha",""))))</f>
      </c>
      <c r="C242" s="7"/>
      <c r="D242" s="7"/>
      <c r="E242" s="8">
        <f>IF(C242="","",IFERROR(VLOOKUP(C242,Insumos!$A:$I,9,FALSE),IFERROR(VLOOKUP(C242,Preparos!$A:$D,4,FALSE),IFERROR(IF(ISNUMBER(MATCH(C242,Fichas!$A:$A,0)),"un",""),""))))</f>
      </c>
      <c r="F242" s="8">
        <f>IF(C242="","",IFERROR(VLOOKUP(C242,Insumos!$A:$G,7,FALSE),100))</f>
      </c>
      <c r="G242" s="9">
        <f>IF(C242="","",IFERROR(VLOOKUP(C242,Insumos!$A:$J,10,FALSE),IFERROR(VLOOKUP(C242,Preparos!$A:$F,6,FALSE),IFERROR(VLOOKUP(C242,Fichas!$A:$D,4,FALSE),0))))</f>
      </c>
      <c r="H242" s="10">
        <f>IF(OR(D242="",G242="",F242=0),"",D242*G242*(100/F242))</f>
      </c>
      <c r="I242" s="5"/>
    </row>
    <row r="243" spans="1:9" x14ac:dyDescent="0.25">
      <c r="A243" s="7"/>
      <c r="B243" s="8">
        <f>IF(C243="","",IF(ISNUMBER(MATCH(C243,Insumos!$A:$A,0)),"insumo",IF(ISNUMBER(MATCH(C243,Preparos!$A:$A,0)),"preparo",IF(ISNUMBER(MATCH(C243,Fichas!$A:$A,0)),"ficha",""))))</f>
      </c>
      <c r="C243" s="7"/>
      <c r="D243" s="7"/>
      <c r="E243" s="8">
        <f>IF(C243="","",IFERROR(VLOOKUP(C243,Insumos!$A:$I,9,FALSE),IFERROR(VLOOKUP(C243,Preparos!$A:$D,4,FALSE),IFERROR(IF(ISNUMBER(MATCH(C243,Fichas!$A:$A,0)),"un",""),""))))</f>
      </c>
      <c r="F243" s="8">
        <f>IF(C243="","",IFERROR(VLOOKUP(C243,Insumos!$A:$G,7,FALSE),100))</f>
      </c>
      <c r="G243" s="9">
        <f>IF(C243="","",IFERROR(VLOOKUP(C243,Insumos!$A:$J,10,FALSE),IFERROR(VLOOKUP(C243,Preparos!$A:$F,6,FALSE),IFERROR(VLOOKUP(C243,Fichas!$A:$D,4,FALSE),0))))</f>
      </c>
      <c r="H243" s="10">
        <f>IF(OR(D243="",G243="",F243=0),"",D243*G243*(100/F243))</f>
      </c>
      <c r="I243" s="5"/>
    </row>
    <row r="244" spans="1:9" x14ac:dyDescent="0.25">
      <c r="A244" s="7"/>
      <c r="B244" s="8">
        <f>IF(C244="","",IF(ISNUMBER(MATCH(C244,Insumos!$A:$A,0)),"insumo",IF(ISNUMBER(MATCH(C244,Preparos!$A:$A,0)),"preparo",IF(ISNUMBER(MATCH(C244,Fichas!$A:$A,0)),"ficha",""))))</f>
      </c>
      <c r="C244" s="7"/>
      <c r="D244" s="7"/>
      <c r="E244" s="8">
        <f>IF(C244="","",IFERROR(VLOOKUP(C244,Insumos!$A:$I,9,FALSE),IFERROR(VLOOKUP(C244,Preparos!$A:$D,4,FALSE),IFERROR(IF(ISNUMBER(MATCH(C244,Fichas!$A:$A,0)),"un",""),""))))</f>
      </c>
      <c r="F244" s="8">
        <f>IF(C244="","",IFERROR(VLOOKUP(C244,Insumos!$A:$G,7,FALSE),100))</f>
      </c>
      <c r="G244" s="9">
        <f>IF(C244="","",IFERROR(VLOOKUP(C244,Insumos!$A:$J,10,FALSE),IFERROR(VLOOKUP(C244,Preparos!$A:$F,6,FALSE),IFERROR(VLOOKUP(C244,Fichas!$A:$D,4,FALSE),0))))</f>
      </c>
      <c r="H244" s="10">
        <f>IF(OR(D244="",G244="",F244=0),"",D244*G244*(100/F244))</f>
      </c>
      <c r="I244" s="5"/>
    </row>
    <row r="245" spans="1:9" x14ac:dyDescent="0.25">
      <c r="A245" s="7"/>
      <c r="B245" s="8">
        <f>IF(C245="","",IF(ISNUMBER(MATCH(C245,Insumos!$A:$A,0)),"insumo",IF(ISNUMBER(MATCH(C245,Preparos!$A:$A,0)),"preparo",IF(ISNUMBER(MATCH(C245,Fichas!$A:$A,0)),"ficha",""))))</f>
      </c>
      <c r="C245" s="7"/>
      <c r="D245" s="7"/>
      <c r="E245" s="8">
        <f>IF(C245="","",IFERROR(VLOOKUP(C245,Insumos!$A:$I,9,FALSE),IFERROR(VLOOKUP(C245,Preparos!$A:$D,4,FALSE),IFERROR(IF(ISNUMBER(MATCH(C245,Fichas!$A:$A,0)),"un",""),""))))</f>
      </c>
      <c r="F245" s="8">
        <f>IF(C245="","",IFERROR(VLOOKUP(C245,Insumos!$A:$G,7,FALSE),100))</f>
      </c>
      <c r="G245" s="9">
        <f>IF(C245="","",IFERROR(VLOOKUP(C245,Insumos!$A:$J,10,FALSE),IFERROR(VLOOKUP(C245,Preparos!$A:$F,6,FALSE),IFERROR(VLOOKUP(C245,Fichas!$A:$D,4,FALSE),0))))</f>
      </c>
      <c r="H245" s="10">
        <f>IF(OR(D245="",G245="",F245=0),"",D245*G245*(100/F245))</f>
      </c>
      <c r="I245" s="5"/>
    </row>
    <row r="246" spans="1:9" x14ac:dyDescent="0.25">
      <c r="A246" s="7"/>
      <c r="B246" s="8">
        <f>IF(C246="","",IF(ISNUMBER(MATCH(C246,Insumos!$A:$A,0)),"insumo",IF(ISNUMBER(MATCH(C246,Preparos!$A:$A,0)),"preparo",IF(ISNUMBER(MATCH(C246,Fichas!$A:$A,0)),"ficha",""))))</f>
      </c>
      <c r="C246" s="7"/>
      <c r="D246" s="7"/>
      <c r="E246" s="8">
        <f>IF(C246="","",IFERROR(VLOOKUP(C246,Insumos!$A:$I,9,FALSE),IFERROR(VLOOKUP(C246,Preparos!$A:$D,4,FALSE),IFERROR(IF(ISNUMBER(MATCH(C246,Fichas!$A:$A,0)),"un",""),""))))</f>
      </c>
      <c r="F246" s="8">
        <f>IF(C246="","",IFERROR(VLOOKUP(C246,Insumos!$A:$G,7,FALSE),100))</f>
      </c>
      <c r="G246" s="9">
        <f>IF(C246="","",IFERROR(VLOOKUP(C246,Insumos!$A:$J,10,FALSE),IFERROR(VLOOKUP(C246,Preparos!$A:$F,6,FALSE),IFERROR(VLOOKUP(C246,Fichas!$A:$D,4,FALSE),0))))</f>
      </c>
      <c r="H246" s="10">
        <f>IF(OR(D246="",G246="",F246=0),"",D246*G246*(100/F246))</f>
      </c>
      <c r="I246" s="5"/>
    </row>
    <row r="247" spans="1:9" x14ac:dyDescent="0.25">
      <c r="A247" s="7"/>
      <c r="B247" s="8">
        <f>IF(C247="","",IF(ISNUMBER(MATCH(C247,Insumos!$A:$A,0)),"insumo",IF(ISNUMBER(MATCH(C247,Preparos!$A:$A,0)),"preparo",IF(ISNUMBER(MATCH(C247,Fichas!$A:$A,0)),"ficha",""))))</f>
      </c>
      <c r="C247" s="7"/>
      <c r="D247" s="7"/>
      <c r="E247" s="8">
        <f>IF(C247="","",IFERROR(VLOOKUP(C247,Insumos!$A:$I,9,FALSE),IFERROR(VLOOKUP(C247,Preparos!$A:$D,4,FALSE),IFERROR(IF(ISNUMBER(MATCH(C247,Fichas!$A:$A,0)),"un",""),""))))</f>
      </c>
      <c r="F247" s="8">
        <f>IF(C247="","",IFERROR(VLOOKUP(C247,Insumos!$A:$G,7,FALSE),100))</f>
      </c>
      <c r="G247" s="9">
        <f>IF(C247="","",IFERROR(VLOOKUP(C247,Insumos!$A:$J,10,FALSE),IFERROR(VLOOKUP(C247,Preparos!$A:$F,6,FALSE),IFERROR(VLOOKUP(C247,Fichas!$A:$D,4,FALSE),0))))</f>
      </c>
      <c r="H247" s="10">
        <f>IF(OR(D247="",G247="",F247=0),"",D247*G247*(100/F247))</f>
      </c>
      <c r="I247" s="5"/>
    </row>
    <row r="248" spans="1:9" x14ac:dyDescent="0.25">
      <c r="A248" s="7"/>
      <c r="B248" s="8">
        <f>IF(C248="","",IF(ISNUMBER(MATCH(C248,Insumos!$A:$A,0)),"insumo",IF(ISNUMBER(MATCH(C248,Preparos!$A:$A,0)),"preparo",IF(ISNUMBER(MATCH(C248,Fichas!$A:$A,0)),"ficha",""))))</f>
      </c>
      <c r="C248" s="7"/>
      <c r="D248" s="7"/>
      <c r="E248" s="8">
        <f>IF(C248="","",IFERROR(VLOOKUP(C248,Insumos!$A:$I,9,FALSE),IFERROR(VLOOKUP(C248,Preparos!$A:$D,4,FALSE),IFERROR(IF(ISNUMBER(MATCH(C248,Fichas!$A:$A,0)),"un",""),""))))</f>
      </c>
      <c r="F248" s="8">
        <f>IF(C248="","",IFERROR(VLOOKUP(C248,Insumos!$A:$G,7,FALSE),100))</f>
      </c>
      <c r="G248" s="9">
        <f>IF(C248="","",IFERROR(VLOOKUP(C248,Insumos!$A:$J,10,FALSE),IFERROR(VLOOKUP(C248,Preparos!$A:$F,6,FALSE),IFERROR(VLOOKUP(C248,Fichas!$A:$D,4,FALSE),0))))</f>
      </c>
      <c r="H248" s="10">
        <f>IF(OR(D248="",G248="",F248=0),"",D248*G248*(100/F248))</f>
      </c>
      <c r="I248" s="5"/>
    </row>
    <row r="249" spans="1:9" x14ac:dyDescent="0.25">
      <c r="A249" s="7"/>
      <c r="B249" s="8">
        <f>IF(C249="","",IF(ISNUMBER(MATCH(C249,Insumos!$A:$A,0)),"insumo",IF(ISNUMBER(MATCH(C249,Preparos!$A:$A,0)),"preparo",IF(ISNUMBER(MATCH(C249,Fichas!$A:$A,0)),"ficha",""))))</f>
      </c>
      <c r="C249" s="7"/>
      <c r="D249" s="7"/>
      <c r="E249" s="8">
        <f>IF(C249="","",IFERROR(VLOOKUP(C249,Insumos!$A:$I,9,FALSE),IFERROR(VLOOKUP(C249,Preparos!$A:$D,4,FALSE),IFERROR(IF(ISNUMBER(MATCH(C249,Fichas!$A:$A,0)),"un",""),""))))</f>
      </c>
      <c r="F249" s="8">
        <f>IF(C249="","",IFERROR(VLOOKUP(C249,Insumos!$A:$G,7,FALSE),100))</f>
      </c>
      <c r="G249" s="9">
        <f>IF(C249="","",IFERROR(VLOOKUP(C249,Insumos!$A:$J,10,FALSE),IFERROR(VLOOKUP(C249,Preparos!$A:$F,6,FALSE),IFERROR(VLOOKUP(C249,Fichas!$A:$D,4,FALSE),0))))</f>
      </c>
      <c r="H249" s="10">
        <f>IF(OR(D249="",G249="",F249=0),"",D249*G249*(100/F249))</f>
      </c>
      <c r="I249" s="5"/>
    </row>
    <row r="250" spans="1:9" x14ac:dyDescent="0.25">
      <c r="A250" s="7"/>
      <c r="B250" s="8">
        <f>IF(C250="","",IF(ISNUMBER(MATCH(C250,Insumos!$A:$A,0)),"insumo",IF(ISNUMBER(MATCH(C250,Preparos!$A:$A,0)),"preparo",IF(ISNUMBER(MATCH(C250,Fichas!$A:$A,0)),"ficha",""))))</f>
      </c>
      <c r="C250" s="7"/>
      <c r="D250" s="7"/>
      <c r="E250" s="8">
        <f>IF(C250="","",IFERROR(VLOOKUP(C250,Insumos!$A:$I,9,FALSE),IFERROR(VLOOKUP(C250,Preparos!$A:$D,4,FALSE),IFERROR(IF(ISNUMBER(MATCH(C250,Fichas!$A:$A,0)),"un",""),""))))</f>
      </c>
      <c r="F250" s="8">
        <f>IF(C250="","",IFERROR(VLOOKUP(C250,Insumos!$A:$G,7,FALSE),100))</f>
      </c>
      <c r="G250" s="9">
        <f>IF(C250="","",IFERROR(VLOOKUP(C250,Insumos!$A:$J,10,FALSE),IFERROR(VLOOKUP(C250,Preparos!$A:$F,6,FALSE),IFERROR(VLOOKUP(C250,Fichas!$A:$D,4,FALSE),0))))</f>
      </c>
      <c r="H250" s="10">
        <f>IF(OR(D250="",G250="",F250=0),"",D250*G250*(100/F250))</f>
      </c>
      <c r="I250" s="5"/>
    </row>
    <row r="251" spans="1:9" x14ac:dyDescent="0.25">
      <c r="A251" s="7"/>
      <c r="B251" s="8">
        <f>IF(C251="","",IF(ISNUMBER(MATCH(C251,Insumos!$A:$A,0)),"insumo",IF(ISNUMBER(MATCH(C251,Preparos!$A:$A,0)),"preparo",IF(ISNUMBER(MATCH(C251,Fichas!$A:$A,0)),"ficha",""))))</f>
      </c>
      <c r="C251" s="7"/>
      <c r="D251" s="7"/>
      <c r="E251" s="8">
        <f>IF(C251="","",IFERROR(VLOOKUP(C251,Insumos!$A:$I,9,FALSE),IFERROR(VLOOKUP(C251,Preparos!$A:$D,4,FALSE),IFERROR(IF(ISNUMBER(MATCH(C251,Fichas!$A:$A,0)),"un",""),""))))</f>
      </c>
      <c r="F251" s="8">
        <f>IF(C251="","",IFERROR(VLOOKUP(C251,Insumos!$A:$G,7,FALSE),100))</f>
      </c>
      <c r="G251" s="9">
        <f>IF(C251="","",IFERROR(VLOOKUP(C251,Insumos!$A:$J,10,FALSE),IFERROR(VLOOKUP(C251,Preparos!$A:$F,6,FALSE),IFERROR(VLOOKUP(C251,Fichas!$A:$D,4,FALSE),0))))</f>
      </c>
      <c r="H251" s="10">
        <f>IF(OR(D251="",G251="",F251=0),"",D251*G251*(100/F251))</f>
      </c>
      <c r="I251" s="5"/>
    </row>
    <row r="252" spans="1:9" x14ac:dyDescent="0.25">
      <c r="A252" s="7"/>
      <c r="B252" s="8">
        <f>IF(C252="","",IF(ISNUMBER(MATCH(C252,Insumos!$A:$A,0)),"insumo",IF(ISNUMBER(MATCH(C252,Preparos!$A:$A,0)),"preparo",IF(ISNUMBER(MATCH(C252,Fichas!$A:$A,0)),"ficha",""))))</f>
      </c>
      <c r="C252" s="7"/>
      <c r="D252" s="7"/>
      <c r="E252" s="8">
        <f>IF(C252="","",IFERROR(VLOOKUP(C252,Insumos!$A:$I,9,FALSE),IFERROR(VLOOKUP(C252,Preparos!$A:$D,4,FALSE),IFERROR(IF(ISNUMBER(MATCH(C252,Fichas!$A:$A,0)),"un",""),""))))</f>
      </c>
      <c r="F252" s="8">
        <f>IF(C252="","",IFERROR(VLOOKUP(C252,Insumos!$A:$G,7,FALSE),100))</f>
      </c>
      <c r="G252" s="9">
        <f>IF(C252="","",IFERROR(VLOOKUP(C252,Insumos!$A:$J,10,FALSE),IFERROR(VLOOKUP(C252,Preparos!$A:$F,6,FALSE),IFERROR(VLOOKUP(C252,Fichas!$A:$D,4,FALSE),0))))</f>
      </c>
      <c r="H252" s="10">
        <f>IF(OR(D252="",G252="",F252=0),"",D252*G252*(100/F252))</f>
      </c>
      <c r="I252" s="5"/>
    </row>
    <row r="253" spans="1:9" x14ac:dyDescent="0.25">
      <c r="A253" s="7"/>
      <c r="B253" s="8">
        <f>IF(C253="","",IF(ISNUMBER(MATCH(C253,Insumos!$A:$A,0)),"insumo",IF(ISNUMBER(MATCH(C253,Preparos!$A:$A,0)),"preparo",IF(ISNUMBER(MATCH(C253,Fichas!$A:$A,0)),"ficha",""))))</f>
      </c>
      <c r="C253" s="7"/>
      <c r="D253" s="7"/>
      <c r="E253" s="8">
        <f>IF(C253="","",IFERROR(VLOOKUP(C253,Insumos!$A:$I,9,FALSE),IFERROR(VLOOKUP(C253,Preparos!$A:$D,4,FALSE),IFERROR(IF(ISNUMBER(MATCH(C253,Fichas!$A:$A,0)),"un",""),""))))</f>
      </c>
      <c r="F253" s="8">
        <f>IF(C253="","",IFERROR(VLOOKUP(C253,Insumos!$A:$G,7,FALSE),100))</f>
      </c>
      <c r="G253" s="9">
        <f>IF(C253="","",IFERROR(VLOOKUP(C253,Insumos!$A:$J,10,FALSE),IFERROR(VLOOKUP(C253,Preparos!$A:$F,6,FALSE),IFERROR(VLOOKUP(C253,Fichas!$A:$D,4,FALSE),0))))</f>
      </c>
      <c r="H253" s="10">
        <f>IF(OR(D253="",G253="",F253=0),"",D253*G253*(100/F253))</f>
      </c>
      <c r="I253" s="5"/>
    </row>
    <row r="254" spans="1:9" x14ac:dyDescent="0.25">
      <c r="A254" s="7"/>
      <c r="B254" s="8">
        <f>IF(C254="","",IF(ISNUMBER(MATCH(C254,Insumos!$A:$A,0)),"insumo",IF(ISNUMBER(MATCH(C254,Preparos!$A:$A,0)),"preparo",IF(ISNUMBER(MATCH(C254,Fichas!$A:$A,0)),"ficha",""))))</f>
      </c>
      <c r="C254" s="7"/>
      <c r="D254" s="7"/>
      <c r="E254" s="8">
        <f>IF(C254="","",IFERROR(VLOOKUP(C254,Insumos!$A:$I,9,FALSE),IFERROR(VLOOKUP(C254,Preparos!$A:$D,4,FALSE),IFERROR(IF(ISNUMBER(MATCH(C254,Fichas!$A:$A,0)),"un",""),""))))</f>
      </c>
      <c r="F254" s="8">
        <f>IF(C254="","",IFERROR(VLOOKUP(C254,Insumos!$A:$G,7,FALSE),100))</f>
      </c>
      <c r="G254" s="9">
        <f>IF(C254="","",IFERROR(VLOOKUP(C254,Insumos!$A:$J,10,FALSE),IFERROR(VLOOKUP(C254,Preparos!$A:$F,6,FALSE),IFERROR(VLOOKUP(C254,Fichas!$A:$D,4,FALSE),0))))</f>
      </c>
      <c r="H254" s="10">
        <f>IF(OR(D254="",G254="",F254=0),"",D254*G254*(100/F254))</f>
      </c>
      <c r="I254" s="5"/>
    </row>
    <row r="255" spans="1:9" x14ac:dyDescent="0.25">
      <c r="A255" s="7"/>
      <c r="B255" s="8">
        <f>IF(C255="","",IF(ISNUMBER(MATCH(C255,Insumos!$A:$A,0)),"insumo",IF(ISNUMBER(MATCH(C255,Preparos!$A:$A,0)),"preparo",IF(ISNUMBER(MATCH(C255,Fichas!$A:$A,0)),"ficha",""))))</f>
      </c>
      <c r="C255" s="7"/>
      <c r="D255" s="7"/>
      <c r="E255" s="8">
        <f>IF(C255="","",IFERROR(VLOOKUP(C255,Insumos!$A:$I,9,FALSE),IFERROR(VLOOKUP(C255,Preparos!$A:$D,4,FALSE),IFERROR(IF(ISNUMBER(MATCH(C255,Fichas!$A:$A,0)),"un",""),""))))</f>
      </c>
      <c r="F255" s="8">
        <f>IF(C255="","",IFERROR(VLOOKUP(C255,Insumos!$A:$G,7,FALSE),100))</f>
      </c>
      <c r="G255" s="9">
        <f>IF(C255="","",IFERROR(VLOOKUP(C255,Insumos!$A:$J,10,FALSE),IFERROR(VLOOKUP(C255,Preparos!$A:$F,6,FALSE),IFERROR(VLOOKUP(C255,Fichas!$A:$D,4,FALSE),0))))</f>
      </c>
      <c r="H255" s="10">
        <f>IF(OR(D255="",G255="",F255=0),"",D255*G255*(100/F255))</f>
      </c>
      <c r="I255" s="5"/>
    </row>
    <row r="256" spans="1:9" x14ac:dyDescent="0.25">
      <c r="A256" s="7"/>
      <c r="B256" s="8">
        <f>IF(C256="","",IF(ISNUMBER(MATCH(C256,Insumos!$A:$A,0)),"insumo",IF(ISNUMBER(MATCH(C256,Preparos!$A:$A,0)),"preparo",IF(ISNUMBER(MATCH(C256,Fichas!$A:$A,0)),"ficha",""))))</f>
      </c>
      <c r="C256" s="7"/>
      <c r="D256" s="7"/>
      <c r="E256" s="8">
        <f>IF(C256="","",IFERROR(VLOOKUP(C256,Insumos!$A:$I,9,FALSE),IFERROR(VLOOKUP(C256,Preparos!$A:$D,4,FALSE),IFERROR(IF(ISNUMBER(MATCH(C256,Fichas!$A:$A,0)),"un",""),""))))</f>
      </c>
      <c r="F256" s="8">
        <f>IF(C256="","",IFERROR(VLOOKUP(C256,Insumos!$A:$G,7,FALSE),100))</f>
      </c>
      <c r="G256" s="9">
        <f>IF(C256="","",IFERROR(VLOOKUP(C256,Insumos!$A:$J,10,FALSE),IFERROR(VLOOKUP(C256,Preparos!$A:$F,6,FALSE),IFERROR(VLOOKUP(C256,Fichas!$A:$D,4,FALSE),0))))</f>
      </c>
      <c r="H256" s="10">
        <f>IF(OR(D256="",G256="",F256=0),"",D256*G256*(100/F256))</f>
      </c>
      <c r="I256" s="5"/>
    </row>
    <row r="257" spans="1:9" x14ac:dyDescent="0.25">
      <c r="A257" s="7"/>
      <c r="B257" s="8">
        <f>IF(C257="","",IF(ISNUMBER(MATCH(C257,Insumos!$A:$A,0)),"insumo",IF(ISNUMBER(MATCH(C257,Preparos!$A:$A,0)),"preparo",IF(ISNUMBER(MATCH(C257,Fichas!$A:$A,0)),"ficha",""))))</f>
      </c>
      <c r="C257" s="7"/>
      <c r="D257" s="7"/>
      <c r="E257" s="8">
        <f>IF(C257="","",IFERROR(VLOOKUP(C257,Insumos!$A:$I,9,FALSE),IFERROR(VLOOKUP(C257,Preparos!$A:$D,4,FALSE),IFERROR(IF(ISNUMBER(MATCH(C257,Fichas!$A:$A,0)),"un",""),""))))</f>
      </c>
      <c r="F257" s="8">
        <f>IF(C257="","",IFERROR(VLOOKUP(C257,Insumos!$A:$G,7,FALSE),100))</f>
      </c>
      <c r="G257" s="9">
        <f>IF(C257="","",IFERROR(VLOOKUP(C257,Insumos!$A:$J,10,FALSE),IFERROR(VLOOKUP(C257,Preparos!$A:$F,6,FALSE),IFERROR(VLOOKUP(C257,Fichas!$A:$D,4,FALSE),0))))</f>
      </c>
      <c r="H257" s="10">
        <f>IF(OR(D257="",G257="",F257=0),"",D257*G257*(100/F257))</f>
      </c>
      <c r="I257" s="5"/>
    </row>
    <row r="258" spans="1:9" x14ac:dyDescent="0.25">
      <c r="A258" s="7"/>
      <c r="B258" s="8">
        <f>IF(C258="","",IF(ISNUMBER(MATCH(C258,Insumos!$A:$A,0)),"insumo",IF(ISNUMBER(MATCH(C258,Preparos!$A:$A,0)),"preparo",IF(ISNUMBER(MATCH(C258,Fichas!$A:$A,0)),"ficha",""))))</f>
      </c>
      <c r="C258" s="7"/>
      <c r="D258" s="7"/>
      <c r="E258" s="8">
        <f>IF(C258="","",IFERROR(VLOOKUP(C258,Insumos!$A:$I,9,FALSE),IFERROR(VLOOKUP(C258,Preparos!$A:$D,4,FALSE),IFERROR(IF(ISNUMBER(MATCH(C258,Fichas!$A:$A,0)),"un",""),""))))</f>
      </c>
      <c r="F258" s="8">
        <f>IF(C258="","",IFERROR(VLOOKUP(C258,Insumos!$A:$G,7,FALSE),100))</f>
      </c>
      <c r="G258" s="9">
        <f>IF(C258="","",IFERROR(VLOOKUP(C258,Insumos!$A:$J,10,FALSE),IFERROR(VLOOKUP(C258,Preparos!$A:$F,6,FALSE),IFERROR(VLOOKUP(C258,Fichas!$A:$D,4,FALSE),0))))</f>
      </c>
      <c r="H258" s="10">
        <f>IF(OR(D258="",G258="",F258=0),"",D258*G258*(100/F258))</f>
      </c>
      <c r="I258" s="5"/>
    </row>
    <row r="259" spans="1:9" x14ac:dyDescent="0.25">
      <c r="A259" s="7"/>
      <c r="B259" s="8">
        <f>IF(C259="","",IF(ISNUMBER(MATCH(C259,Insumos!$A:$A,0)),"insumo",IF(ISNUMBER(MATCH(C259,Preparos!$A:$A,0)),"preparo",IF(ISNUMBER(MATCH(C259,Fichas!$A:$A,0)),"ficha",""))))</f>
      </c>
      <c r="C259" s="7"/>
      <c r="D259" s="7"/>
      <c r="E259" s="8">
        <f>IF(C259="","",IFERROR(VLOOKUP(C259,Insumos!$A:$I,9,FALSE),IFERROR(VLOOKUP(C259,Preparos!$A:$D,4,FALSE),IFERROR(IF(ISNUMBER(MATCH(C259,Fichas!$A:$A,0)),"un",""),""))))</f>
      </c>
      <c r="F259" s="8">
        <f>IF(C259="","",IFERROR(VLOOKUP(C259,Insumos!$A:$G,7,FALSE),100))</f>
      </c>
      <c r="G259" s="9">
        <f>IF(C259="","",IFERROR(VLOOKUP(C259,Insumos!$A:$J,10,FALSE),IFERROR(VLOOKUP(C259,Preparos!$A:$F,6,FALSE),IFERROR(VLOOKUP(C259,Fichas!$A:$D,4,FALSE),0))))</f>
      </c>
      <c r="H259" s="10">
        <f>IF(OR(D259="",G259="",F259=0),"",D259*G259*(100/F259))</f>
      </c>
      <c r="I259" s="5"/>
    </row>
    <row r="260" spans="1:9" x14ac:dyDescent="0.25">
      <c r="A260" s="7"/>
      <c r="B260" s="8">
        <f>IF(C260="","",IF(ISNUMBER(MATCH(C260,Insumos!$A:$A,0)),"insumo",IF(ISNUMBER(MATCH(C260,Preparos!$A:$A,0)),"preparo",IF(ISNUMBER(MATCH(C260,Fichas!$A:$A,0)),"ficha",""))))</f>
      </c>
      <c r="C260" s="7"/>
      <c r="D260" s="7"/>
      <c r="E260" s="8">
        <f>IF(C260="","",IFERROR(VLOOKUP(C260,Insumos!$A:$I,9,FALSE),IFERROR(VLOOKUP(C260,Preparos!$A:$D,4,FALSE),IFERROR(IF(ISNUMBER(MATCH(C260,Fichas!$A:$A,0)),"un",""),""))))</f>
      </c>
      <c r="F260" s="8">
        <f>IF(C260="","",IFERROR(VLOOKUP(C260,Insumos!$A:$G,7,FALSE),100))</f>
      </c>
      <c r="G260" s="9">
        <f>IF(C260="","",IFERROR(VLOOKUP(C260,Insumos!$A:$J,10,FALSE),IFERROR(VLOOKUP(C260,Preparos!$A:$F,6,FALSE),IFERROR(VLOOKUP(C260,Fichas!$A:$D,4,FALSE),0))))</f>
      </c>
      <c r="H260" s="10">
        <f>IF(OR(D260="",G260="",F260=0),"",D260*G260*(100/F260))</f>
      </c>
      <c r="I260" s="5"/>
    </row>
    <row r="261" spans="1:9" x14ac:dyDescent="0.25">
      <c r="A261" s="7"/>
      <c r="B261" s="8">
        <f>IF(C261="","",IF(ISNUMBER(MATCH(C261,Insumos!$A:$A,0)),"insumo",IF(ISNUMBER(MATCH(C261,Preparos!$A:$A,0)),"preparo",IF(ISNUMBER(MATCH(C261,Fichas!$A:$A,0)),"ficha",""))))</f>
      </c>
      <c r="C261" s="7"/>
      <c r="D261" s="7"/>
      <c r="E261" s="8">
        <f>IF(C261="","",IFERROR(VLOOKUP(C261,Insumos!$A:$I,9,FALSE),IFERROR(VLOOKUP(C261,Preparos!$A:$D,4,FALSE),IFERROR(IF(ISNUMBER(MATCH(C261,Fichas!$A:$A,0)),"un",""),""))))</f>
      </c>
      <c r="F261" s="8">
        <f>IF(C261="","",IFERROR(VLOOKUP(C261,Insumos!$A:$G,7,FALSE),100))</f>
      </c>
      <c r="G261" s="9">
        <f>IF(C261="","",IFERROR(VLOOKUP(C261,Insumos!$A:$J,10,FALSE),IFERROR(VLOOKUP(C261,Preparos!$A:$F,6,FALSE),IFERROR(VLOOKUP(C261,Fichas!$A:$D,4,FALSE),0))))</f>
      </c>
      <c r="H261" s="10">
        <f>IF(OR(D261="",G261="",F261=0),"",D261*G261*(100/F261))</f>
      </c>
      <c r="I261" s="5"/>
    </row>
    <row r="262" spans="1:9" x14ac:dyDescent="0.25">
      <c r="A262" s="7"/>
      <c r="B262" s="8">
        <f>IF(C262="","",IF(ISNUMBER(MATCH(C262,Insumos!$A:$A,0)),"insumo",IF(ISNUMBER(MATCH(C262,Preparos!$A:$A,0)),"preparo",IF(ISNUMBER(MATCH(C262,Fichas!$A:$A,0)),"ficha",""))))</f>
      </c>
      <c r="C262" s="7"/>
      <c r="D262" s="7"/>
      <c r="E262" s="8">
        <f>IF(C262="","",IFERROR(VLOOKUP(C262,Insumos!$A:$I,9,FALSE),IFERROR(VLOOKUP(C262,Preparos!$A:$D,4,FALSE),IFERROR(IF(ISNUMBER(MATCH(C262,Fichas!$A:$A,0)),"un",""),""))))</f>
      </c>
      <c r="F262" s="8">
        <f>IF(C262="","",IFERROR(VLOOKUP(C262,Insumos!$A:$G,7,FALSE),100))</f>
      </c>
      <c r="G262" s="9">
        <f>IF(C262="","",IFERROR(VLOOKUP(C262,Insumos!$A:$J,10,FALSE),IFERROR(VLOOKUP(C262,Preparos!$A:$F,6,FALSE),IFERROR(VLOOKUP(C262,Fichas!$A:$D,4,FALSE),0))))</f>
      </c>
      <c r="H262" s="10">
        <f>IF(OR(D262="",G262="",F262=0),"",D262*G262*(100/F262))</f>
      </c>
      <c r="I262" s="5"/>
    </row>
    <row r="263" spans="1:9" x14ac:dyDescent="0.25">
      <c r="A263" s="7"/>
      <c r="B263" s="8">
        <f>IF(C263="","",IF(ISNUMBER(MATCH(C263,Insumos!$A:$A,0)),"insumo",IF(ISNUMBER(MATCH(C263,Preparos!$A:$A,0)),"preparo",IF(ISNUMBER(MATCH(C263,Fichas!$A:$A,0)),"ficha",""))))</f>
      </c>
      <c r="C263" s="7"/>
      <c r="D263" s="7"/>
      <c r="E263" s="8">
        <f>IF(C263="","",IFERROR(VLOOKUP(C263,Insumos!$A:$I,9,FALSE),IFERROR(VLOOKUP(C263,Preparos!$A:$D,4,FALSE),IFERROR(IF(ISNUMBER(MATCH(C263,Fichas!$A:$A,0)),"un",""),""))))</f>
      </c>
      <c r="F263" s="8">
        <f>IF(C263="","",IFERROR(VLOOKUP(C263,Insumos!$A:$G,7,FALSE),100))</f>
      </c>
      <c r="G263" s="9">
        <f>IF(C263="","",IFERROR(VLOOKUP(C263,Insumos!$A:$J,10,FALSE),IFERROR(VLOOKUP(C263,Preparos!$A:$F,6,FALSE),IFERROR(VLOOKUP(C263,Fichas!$A:$D,4,FALSE),0))))</f>
      </c>
      <c r="H263" s="10">
        <f>IF(OR(D263="",G263="",F263=0),"",D263*G263*(100/F263))</f>
      </c>
      <c r="I263" s="5"/>
    </row>
    <row r="264" spans="1:9" x14ac:dyDescent="0.25">
      <c r="A264" s="7"/>
      <c r="B264" s="8">
        <f>IF(C264="","",IF(ISNUMBER(MATCH(C264,Insumos!$A:$A,0)),"insumo",IF(ISNUMBER(MATCH(C264,Preparos!$A:$A,0)),"preparo",IF(ISNUMBER(MATCH(C264,Fichas!$A:$A,0)),"ficha",""))))</f>
      </c>
      <c r="C264" s="7"/>
      <c r="D264" s="7"/>
      <c r="E264" s="8">
        <f>IF(C264="","",IFERROR(VLOOKUP(C264,Insumos!$A:$I,9,FALSE),IFERROR(VLOOKUP(C264,Preparos!$A:$D,4,FALSE),IFERROR(IF(ISNUMBER(MATCH(C264,Fichas!$A:$A,0)),"un",""),""))))</f>
      </c>
      <c r="F264" s="8">
        <f>IF(C264="","",IFERROR(VLOOKUP(C264,Insumos!$A:$G,7,FALSE),100))</f>
      </c>
      <c r="G264" s="9">
        <f>IF(C264="","",IFERROR(VLOOKUP(C264,Insumos!$A:$J,10,FALSE),IFERROR(VLOOKUP(C264,Preparos!$A:$F,6,FALSE),IFERROR(VLOOKUP(C264,Fichas!$A:$D,4,FALSE),0))))</f>
      </c>
      <c r="H264" s="10">
        <f>IF(OR(D264="",G264="",F264=0),"",D264*G264*(100/F264))</f>
      </c>
      <c r="I264" s="5"/>
    </row>
    <row r="265" spans="1:9" x14ac:dyDescent="0.25">
      <c r="A265" s="7"/>
      <c r="B265" s="8">
        <f>IF(C265="","",IF(ISNUMBER(MATCH(C265,Insumos!$A:$A,0)),"insumo",IF(ISNUMBER(MATCH(C265,Preparos!$A:$A,0)),"preparo",IF(ISNUMBER(MATCH(C265,Fichas!$A:$A,0)),"ficha",""))))</f>
      </c>
      <c r="C265" s="7"/>
      <c r="D265" s="7"/>
      <c r="E265" s="8">
        <f>IF(C265="","",IFERROR(VLOOKUP(C265,Insumos!$A:$I,9,FALSE),IFERROR(VLOOKUP(C265,Preparos!$A:$D,4,FALSE),IFERROR(IF(ISNUMBER(MATCH(C265,Fichas!$A:$A,0)),"un",""),""))))</f>
      </c>
      <c r="F265" s="8">
        <f>IF(C265="","",IFERROR(VLOOKUP(C265,Insumos!$A:$G,7,FALSE),100))</f>
      </c>
      <c r="G265" s="9">
        <f>IF(C265="","",IFERROR(VLOOKUP(C265,Insumos!$A:$J,10,FALSE),IFERROR(VLOOKUP(C265,Preparos!$A:$F,6,FALSE),IFERROR(VLOOKUP(C265,Fichas!$A:$D,4,FALSE),0))))</f>
      </c>
      <c r="H265" s="10">
        <f>IF(OR(D265="",G265="",F265=0),"",D265*G265*(100/F265))</f>
      </c>
      <c r="I265" s="5"/>
    </row>
    <row r="266" spans="1:9" x14ac:dyDescent="0.25">
      <c r="A266" s="7"/>
      <c r="B266" s="8">
        <f>IF(C266="","",IF(ISNUMBER(MATCH(C266,Insumos!$A:$A,0)),"insumo",IF(ISNUMBER(MATCH(C266,Preparos!$A:$A,0)),"preparo",IF(ISNUMBER(MATCH(C266,Fichas!$A:$A,0)),"ficha",""))))</f>
      </c>
      <c r="C266" s="7"/>
      <c r="D266" s="7"/>
      <c r="E266" s="8">
        <f>IF(C266="","",IFERROR(VLOOKUP(C266,Insumos!$A:$I,9,FALSE),IFERROR(VLOOKUP(C266,Preparos!$A:$D,4,FALSE),IFERROR(IF(ISNUMBER(MATCH(C266,Fichas!$A:$A,0)),"un",""),""))))</f>
      </c>
      <c r="F266" s="8">
        <f>IF(C266="","",IFERROR(VLOOKUP(C266,Insumos!$A:$G,7,FALSE),100))</f>
      </c>
      <c r="G266" s="9">
        <f>IF(C266="","",IFERROR(VLOOKUP(C266,Insumos!$A:$J,10,FALSE),IFERROR(VLOOKUP(C266,Preparos!$A:$F,6,FALSE),IFERROR(VLOOKUP(C266,Fichas!$A:$D,4,FALSE),0))))</f>
      </c>
      <c r="H266" s="10">
        <f>IF(OR(D266="",G266="",F266=0),"",D266*G266*(100/F266))</f>
      </c>
      <c r="I266" s="5"/>
    </row>
    <row r="267" spans="1:9" x14ac:dyDescent="0.25">
      <c r="A267" s="7"/>
      <c r="B267" s="8">
        <f>IF(C267="","",IF(ISNUMBER(MATCH(C267,Insumos!$A:$A,0)),"insumo",IF(ISNUMBER(MATCH(C267,Preparos!$A:$A,0)),"preparo",IF(ISNUMBER(MATCH(C267,Fichas!$A:$A,0)),"ficha",""))))</f>
      </c>
      <c r="C267" s="7"/>
      <c r="D267" s="7"/>
      <c r="E267" s="8">
        <f>IF(C267="","",IFERROR(VLOOKUP(C267,Insumos!$A:$I,9,FALSE),IFERROR(VLOOKUP(C267,Preparos!$A:$D,4,FALSE),IFERROR(IF(ISNUMBER(MATCH(C267,Fichas!$A:$A,0)),"un",""),""))))</f>
      </c>
      <c r="F267" s="8">
        <f>IF(C267="","",IFERROR(VLOOKUP(C267,Insumos!$A:$G,7,FALSE),100))</f>
      </c>
      <c r="G267" s="9">
        <f>IF(C267="","",IFERROR(VLOOKUP(C267,Insumos!$A:$J,10,FALSE),IFERROR(VLOOKUP(C267,Preparos!$A:$F,6,FALSE),IFERROR(VLOOKUP(C267,Fichas!$A:$D,4,FALSE),0))))</f>
      </c>
      <c r="H267" s="10">
        <f>IF(OR(D267="",G267="",F267=0),"",D267*G267*(100/F267))</f>
      </c>
      <c r="I267" s="5"/>
    </row>
    <row r="268" spans="1:9" x14ac:dyDescent="0.25">
      <c r="A268" s="7"/>
      <c r="B268" s="8">
        <f>IF(C268="","",IF(ISNUMBER(MATCH(C268,Insumos!$A:$A,0)),"insumo",IF(ISNUMBER(MATCH(C268,Preparos!$A:$A,0)),"preparo",IF(ISNUMBER(MATCH(C268,Fichas!$A:$A,0)),"ficha",""))))</f>
      </c>
      <c r="C268" s="7"/>
      <c r="D268" s="7"/>
      <c r="E268" s="8">
        <f>IF(C268="","",IFERROR(VLOOKUP(C268,Insumos!$A:$I,9,FALSE),IFERROR(VLOOKUP(C268,Preparos!$A:$D,4,FALSE),IFERROR(IF(ISNUMBER(MATCH(C268,Fichas!$A:$A,0)),"un",""),""))))</f>
      </c>
      <c r="F268" s="8">
        <f>IF(C268="","",IFERROR(VLOOKUP(C268,Insumos!$A:$G,7,FALSE),100))</f>
      </c>
      <c r="G268" s="9">
        <f>IF(C268="","",IFERROR(VLOOKUP(C268,Insumos!$A:$J,10,FALSE),IFERROR(VLOOKUP(C268,Preparos!$A:$F,6,FALSE),IFERROR(VLOOKUP(C268,Fichas!$A:$D,4,FALSE),0))))</f>
      </c>
      <c r="H268" s="10">
        <f>IF(OR(D268="",G268="",F268=0),"",D268*G268*(100/F268))</f>
      </c>
      <c r="I268" s="5"/>
    </row>
    <row r="269" spans="1:9" x14ac:dyDescent="0.25">
      <c r="A269" s="7"/>
      <c r="B269" s="8">
        <f>IF(C269="","",IF(ISNUMBER(MATCH(C269,Insumos!$A:$A,0)),"insumo",IF(ISNUMBER(MATCH(C269,Preparos!$A:$A,0)),"preparo",IF(ISNUMBER(MATCH(C269,Fichas!$A:$A,0)),"ficha",""))))</f>
      </c>
      <c r="C269" s="7"/>
      <c r="D269" s="7"/>
      <c r="E269" s="8">
        <f>IF(C269="","",IFERROR(VLOOKUP(C269,Insumos!$A:$I,9,FALSE),IFERROR(VLOOKUP(C269,Preparos!$A:$D,4,FALSE),IFERROR(IF(ISNUMBER(MATCH(C269,Fichas!$A:$A,0)),"un",""),""))))</f>
      </c>
      <c r="F269" s="8">
        <f>IF(C269="","",IFERROR(VLOOKUP(C269,Insumos!$A:$G,7,FALSE),100))</f>
      </c>
      <c r="G269" s="9">
        <f>IF(C269="","",IFERROR(VLOOKUP(C269,Insumos!$A:$J,10,FALSE),IFERROR(VLOOKUP(C269,Preparos!$A:$F,6,FALSE),IFERROR(VLOOKUP(C269,Fichas!$A:$D,4,FALSE),0))))</f>
      </c>
      <c r="H269" s="10">
        <f>IF(OR(D269="",G269="",F269=0),"",D269*G269*(100/F269))</f>
      </c>
      <c r="I269" s="5"/>
    </row>
    <row r="270" spans="1:9" x14ac:dyDescent="0.25">
      <c r="A270" s="7"/>
      <c r="B270" s="8">
        <f>IF(C270="","",IF(ISNUMBER(MATCH(C270,Insumos!$A:$A,0)),"insumo",IF(ISNUMBER(MATCH(C270,Preparos!$A:$A,0)),"preparo",IF(ISNUMBER(MATCH(C270,Fichas!$A:$A,0)),"ficha",""))))</f>
      </c>
      <c r="C270" s="7"/>
      <c r="D270" s="7"/>
      <c r="E270" s="8">
        <f>IF(C270="","",IFERROR(VLOOKUP(C270,Insumos!$A:$I,9,FALSE),IFERROR(VLOOKUP(C270,Preparos!$A:$D,4,FALSE),IFERROR(IF(ISNUMBER(MATCH(C270,Fichas!$A:$A,0)),"un",""),""))))</f>
      </c>
      <c r="F270" s="8">
        <f>IF(C270="","",IFERROR(VLOOKUP(C270,Insumos!$A:$G,7,FALSE),100))</f>
      </c>
      <c r="G270" s="9">
        <f>IF(C270="","",IFERROR(VLOOKUP(C270,Insumos!$A:$J,10,FALSE),IFERROR(VLOOKUP(C270,Preparos!$A:$F,6,FALSE),IFERROR(VLOOKUP(C270,Fichas!$A:$D,4,FALSE),0))))</f>
      </c>
      <c r="H270" s="10">
        <f>IF(OR(D270="",G270="",F270=0),"",D270*G270*(100/F270))</f>
      </c>
      <c r="I270" s="5"/>
    </row>
    <row r="271" spans="1:9" x14ac:dyDescent="0.25">
      <c r="A271" s="7"/>
      <c r="B271" s="8">
        <f>IF(C271="","",IF(ISNUMBER(MATCH(C271,Insumos!$A:$A,0)),"insumo",IF(ISNUMBER(MATCH(C271,Preparos!$A:$A,0)),"preparo",IF(ISNUMBER(MATCH(C271,Fichas!$A:$A,0)),"ficha",""))))</f>
      </c>
      <c r="C271" s="7"/>
      <c r="D271" s="7"/>
      <c r="E271" s="8">
        <f>IF(C271="","",IFERROR(VLOOKUP(C271,Insumos!$A:$I,9,FALSE),IFERROR(VLOOKUP(C271,Preparos!$A:$D,4,FALSE),IFERROR(IF(ISNUMBER(MATCH(C271,Fichas!$A:$A,0)),"un",""),""))))</f>
      </c>
      <c r="F271" s="8">
        <f>IF(C271="","",IFERROR(VLOOKUP(C271,Insumos!$A:$G,7,FALSE),100))</f>
      </c>
      <c r="G271" s="9">
        <f>IF(C271="","",IFERROR(VLOOKUP(C271,Insumos!$A:$J,10,FALSE),IFERROR(VLOOKUP(C271,Preparos!$A:$F,6,FALSE),IFERROR(VLOOKUP(C271,Fichas!$A:$D,4,FALSE),0))))</f>
      </c>
      <c r="H271" s="10">
        <f>IF(OR(D271="",G271="",F271=0),"",D271*G271*(100/F271))</f>
      </c>
      <c r="I271" s="5"/>
    </row>
    <row r="272" spans="1:9" x14ac:dyDescent="0.25">
      <c r="A272" s="7"/>
      <c r="B272" s="8">
        <f>IF(C272="","",IF(ISNUMBER(MATCH(C272,Insumos!$A:$A,0)),"insumo",IF(ISNUMBER(MATCH(C272,Preparos!$A:$A,0)),"preparo",IF(ISNUMBER(MATCH(C272,Fichas!$A:$A,0)),"ficha",""))))</f>
      </c>
      <c r="C272" s="7"/>
      <c r="D272" s="7"/>
      <c r="E272" s="8">
        <f>IF(C272="","",IFERROR(VLOOKUP(C272,Insumos!$A:$I,9,FALSE),IFERROR(VLOOKUP(C272,Preparos!$A:$D,4,FALSE),IFERROR(IF(ISNUMBER(MATCH(C272,Fichas!$A:$A,0)),"un",""),""))))</f>
      </c>
      <c r="F272" s="8">
        <f>IF(C272="","",IFERROR(VLOOKUP(C272,Insumos!$A:$G,7,FALSE),100))</f>
      </c>
      <c r="G272" s="9">
        <f>IF(C272="","",IFERROR(VLOOKUP(C272,Insumos!$A:$J,10,FALSE),IFERROR(VLOOKUP(C272,Preparos!$A:$F,6,FALSE),IFERROR(VLOOKUP(C272,Fichas!$A:$D,4,FALSE),0))))</f>
      </c>
      <c r="H272" s="10">
        <f>IF(OR(D272="",G272="",F272=0),"",D272*G272*(100/F272))</f>
      </c>
      <c r="I272" s="5"/>
    </row>
    <row r="273" spans="1:9" x14ac:dyDescent="0.25">
      <c r="A273" s="7"/>
      <c r="B273" s="8">
        <f>IF(C273="","",IF(ISNUMBER(MATCH(C273,Insumos!$A:$A,0)),"insumo",IF(ISNUMBER(MATCH(C273,Preparos!$A:$A,0)),"preparo",IF(ISNUMBER(MATCH(C273,Fichas!$A:$A,0)),"ficha",""))))</f>
      </c>
      <c r="C273" s="7"/>
      <c r="D273" s="7"/>
      <c r="E273" s="8">
        <f>IF(C273="","",IFERROR(VLOOKUP(C273,Insumos!$A:$I,9,FALSE),IFERROR(VLOOKUP(C273,Preparos!$A:$D,4,FALSE),IFERROR(IF(ISNUMBER(MATCH(C273,Fichas!$A:$A,0)),"un",""),""))))</f>
      </c>
      <c r="F273" s="8">
        <f>IF(C273="","",IFERROR(VLOOKUP(C273,Insumos!$A:$G,7,FALSE),100))</f>
      </c>
      <c r="G273" s="9">
        <f>IF(C273="","",IFERROR(VLOOKUP(C273,Insumos!$A:$J,10,FALSE),IFERROR(VLOOKUP(C273,Preparos!$A:$F,6,FALSE),IFERROR(VLOOKUP(C273,Fichas!$A:$D,4,FALSE),0))))</f>
      </c>
      <c r="H273" s="10">
        <f>IF(OR(D273="",G273="",F273=0),"",D273*G273*(100/F273))</f>
      </c>
      <c r="I273" s="5"/>
    </row>
    <row r="274" spans="1:9" x14ac:dyDescent="0.25">
      <c r="A274" s="7"/>
      <c r="B274" s="8">
        <f>IF(C274="","",IF(ISNUMBER(MATCH(C274,Insumos!$A:$A,0)),"insumo",IF(ISNUMBER(MATCH(C274,Preparos!$A:$A,0)),"preparo",IF(ISNUMBER(MATCH(C274,Fichas!$A:$A,0)),"ficha",""))))</f>
      </c>
      <c r="C274" s="7"/>
      <c r="D274" s="7"/>
      <c r="E274" s="8">
        <f>IF(C274="","",IFERROR(VLOOKUP(C274,Insumos!$A:$I,9,FALSE),IFERROR(VLOOKUP(C274,Preparos!$A:$D,4,FALSE),IFERROR(IF(ISNUMBER(MATCH(C274,Fichas!$A:$A,0)),"un",""),""))))</f>
      </c>
      <c r="F274" s="8">
        <f>IF(C274="","",IFERROR(VLOOKUP(C274,Insumos!$A:$G,7,FALSE),100))</f>
      </c>
      <c r="G274" s="9">
        <f>IF(C274="","",IFERROR(VLOOKUP(C274,Insumos!$A:$J,10,FALSE),IFERROR(VLOOKUP(C274,Preparos!$A:$F,6,FALSE),IFERROR(VLOOKUP(C274,Fichas!$A:$D,4,FALSE),0))))</f>
      </c>
      <c r="H274" s="10">
        <f>IF(OR(D274="",G274="",F274=0),"",D274*G274*(100/F274))</f>
      </c>
      <c r="I274" s="5"/>
    </row>
    <row r="275" spans="1:9" x14ac:dyDescent="0.25">
      <c r="A275" s="7"/>
      <c r="B275" s="8">
        <f>IF(C275="","",IF(ISNUMBER(MATCH(C275,Insumos!$A:$A,0)),"insumo",IF(ISNUMBER(MATCH(C275,Preparos!$A:$A,0)),"preparo",IF(ISNUMBER(MATCH(C275,Fichas!$A:$A,0)),"ficha",""))))</f>
      </c>
      <c r="C275" s="7"/>
      <c r="D275" s="7"/>
      <c r="E275" s="8">
        <f>IF(C275="","",IFERROR(VLOOKUP(C275,Insumos!$A:$I,9,FALSE),IFERROR(VLOOKUP(C275,Preparos!$A:$D,4,FALSE),IFERROR(IF(ISNUMBER(MATCH(C275,Fichas!$A:$A,0)),"un",""),""))))</f>
      </c>
      <c r="F275" s="8">
        <f>IF(C275="","",IFERROR(VLOOKUP(C275,Insumos!$A:$G,7,FALSE),100))</f>
      </c>
      <c r="G275" s="9">
        <f>IF(C275="","",IFERROR(VLOOKUP(C275,Insumos!$A:$J,10,FALSE),IFERROR(VLOOKUP(C275,Preparos!$A:$F,6,FALSE),IFERROR(VLOOKUP(C275,Fichas!$A:$D,4,FALSE),0))))</f>
      </c>
      <c r="H275" s="10">
        <f>IF(OR(D275="",G275="",F275=0),"",D275*G275*(100/F275))</f>
      </c>
      <c r="I275" s="5"/>
    </row>
    <row r="276" spans="1:9" x14ac:dyDescent="0.25">
      <c r="A276" s="7"/>
      <c r="B276" s="8">
        <f>IF(C276="","",IF(ISNUMBER(MATCH(C276,Insumos!$A:$A,0)),"insumo",IF(ISNUMBER(MATCH(C276,Preparos!$A:$A,0)),"preparo",IF(ISNUMBER(MATCH(C276,Fichas!$A:$A,0)),"ficha",""))))</f>
      </c>
      <c r="C276" s="7"/>
      <c r="D276" s="7"/>
      <c r="E276" s="8">
        <f>IF(C276="","",IFERROR(VLOOKUP(C276,Insumos!$A:$I,9,FALSE),IFERROR(VLOOKUP(C276,Preparos!$A:$D,4,FALSE),IFERROR(IF(ISNUMBER(MATCH(C276,Fichas!$A:$A,0)),"un",""),""))))</f>
      </c>
      <c r="F276" s="8">
        <f>IF(C276="","",IFERROR(VLOOKUP(C276,Insumos!$A:$G,7,FALSE),100))</f>
      </c>
      <c r="G276" s="9">
        <f>IF(C276="","",IFERROR(VLOOKUP(C276,Insumos!$A:$J,10,FALSE),IFERROR(VLOOKUP(C276,Preparos!$A:$F,6,FALSE),IFERROR(VLOOKUP(C276,Fichas!$A:$D,4,FALSE),0))))</f>
      </c>
      <c r="H276" s="10">
        <f>IF(OR(D276="",G276="",F276=0),"",D276*G276*(100/F276))</f>
      </c>
      <c r="I276" s="5"/>
    </row>
    <row r="277" spans="1:9" x14ac:dyDescent="0.25">
      <c r="A277" s="7"/>
      <c r="B277" s="8">
        <f>IF(C277="","",IF(ISNUMBER(MATCH(C277,Insumos!$A:$A,0)),"insumo",IF(ISNUMBER(MATCH(C277,Preparos!$A:$A,0)),"preparo",IF(ISNUMBER(MATCH(C277,Fichas!$A:$A,0)),"ficha",""))))</f>
      </c>
      <c r="C277" s="7"/>
      <c r="D277" s="7"/>
      <c r="E277" s="8">
        <f>IF(C277="","",IFERROR(VLOOKUP(C277,Insumos!$A:$I,9,FALSE),IFERROR(VLOOKUP(C277,Preparos!$A:$D,4,FALSE),IFERROR(IF(ISNUMBER(MATCH(C277,Fichas!$A:$A,0)),"un",""),""))))</f>
      </c>
      <c r="F277" s="8">
        <f>IF(C277="","",IFERROR(VLOOKUP(C277,Insumos!$A:$G,7,FALSE),100))</f>
      </c>
      <c r="G277" s="9">
        <f>IF(C277="","",IFERROR(VLOOKUP(C277,Insumos!$A:$J,10,FALSE),IFERROR(VLOOKUP(C277,Preparos!$A:$F,6,FALSE),IFERROR(VLOOKUP(C277,Fichas!$A:$D,4,FALSE),0))))</f>
      </c>
      <c r="H277" s="10">
        <f>IF(OR(D277="",G277="",F277=0),"",D277*G277*(100/F277))</f>
      </c>
      <c r="I277" s="5"/>
    </row>
    <row r="278" spans="1:9" x14ac:dyDescent="0.25">
      <c r="A278" s="7"/>
      <c r="B278" s="8">
        <f>IF(C278="","",IF(ISNUMBER(MATCH(C278,Insumos!$A:$A,0)),"insumo",IF(ISNUMBER(MATCH(C278,Preparos!$A:$A,0)),"preparo",IF(ISNUMBER(MATCH(C278,Fichas!$A:$A,0)),"ficha",""))))</f>
      </c>
      <c r="C278" s="7"/>
      <c r="D278" s="7"/>
      <c r="E278" s="8">
        <f>IF(C278="","",IFERROR(VLOOKUP(C278,Insumos!$A:$I,9,FALSE),IFERROR(VLOOKUP(C278,Preparos!$A:$D,4,FALSE),IFERROR(IF(ISNUMBER(MATCH(C278,Fichas!$A:$A,0)),"un",""),""))))</f>
      </c>
      <c r="F278" s="8">
        <f>IF(C278="","",IFERROR(VLOOKUP(C278,Insumos!$A:$G,7,FALSE),100))</f>
      </c>
      <c r="G278" s="9">
        <f>IF(C278="","",IFERROR(VLOOKUP(C278,Insumos!$A:$J,10,FALSE),IFERROR(VLOOKUP(C278,Preparos!$A:$F,6,FALSE),IFERROR(VLOOKUP(C278,Fichas!$A:$D,4,FALSE),0))))</f>
      </c>
      <c r="H278" s="10">
        <f>IF(OR(D278="",G278="",F278=0),"",D278*G278*(100/F278))</f>
      </c>
      <c r="I278" s="5"/>
    </row>
    <row r="279" spans="1:9" x14ac:dyDescent="0.25">
      <c r="A279" s="7"/>
      <c r="B279" s="8">
        <f>IF(C279="","",IF(ISNUMBER(MATCH(C279,Insumos!$A:$A,0)),"insumo",IF(ISNUMBER(MATCH(C279,Preparos!$A:$A,0)),"preparo",IF(ISNUMBER(MATCH(C279,Fichas!$A:$A,0)),"ficha",""))))</f>
      </c>
      <c r="C279" s="7"/>
      <c r="D279" s="7"/>
      <c r="E279" s="8">
        <f>IF(C279="","",IFERROR(VLOOKUP(C279,Insumos!$A:$I,9,FALSE),IFERROR(VLOOKUP(C279,Preparos!$A:$D,4,FALSE),IFERROR(IF(ISNUMBER(MATCH(C279,Fichas!$A:$A,0)),"un",""),""))))</f>
      </c>
      <c r="F279" s="8">
        <f>IF(C279="","",IFERROR(VLOOKUP(C279,Insumos!$A:$G,7,FALSE),100))</f>
      </c>
      <c r="G279" s="9">
        <f>IF(C279="","",IFERROR(VLOOKUP(C279,Insumos!$A:$J,10,FALSE),IFERROR(VLOOKUP(C279,Preparos!$A:$F,6,FALSE),IFERROR(VLOOKUP(C279,Fichas!$A:$D,4,FALSE),0))))</f>
      </c>
      <c r="H279" s="10">
        <f>IF(OR(D279="",G279="",F279=0),"",D279*G279*(100/F279))</f>
      </c>
      <c r="I279" s="5"/>
    </row>
    <row r="280" spans="1:9" x14ac:dyDescent="0.25">
      <c r="A280" s="7"/>
      <c r="B280" s="8">
        <f>IF(C280="","",IF(ISNUMBER(MATCH(C280,Insumos!$A:$A,0)),"insumo",IF(ISNUMBER(MATCH(C280,Preparos!$A:$A,0)),"preparo",IF(ISNUMBER(MATCH(C280,Fichas!$A:$A,0)),"ficha",""))))</f>
      </c>
      <c r="C280" s="7"/>
      <c r="D280" s="7"/>
      <c r="E280" s="8">
        <f>IF(C280="","",IFERROR(VLOOKUP(C280,Insumos!$A:$I,9,FALSE),IFERROR(VLOOKUP(C280,Preparos!$A:$D,4,FALSE),IFERROR(IF(ISNUMBER(MATCH(C280,Fichas!$A:$A,0)),"un",""),""))))</f>
      </c>
      <c r="F280" s="8">
        <f>IF(C280="","",IFERROR(VLOOKUP(C280,Insumos!$A:$G,7,FALSE),100))</f>
      </c>
      <c r="G280" s="9">
        <f>IF(C280="","",IFERROR(VLOOKUP(C280,Insumos!$A:$J,10,FALSE),IFERROR(VLOOKUP(C280,Preparos!$A:$F,6,FALSE),IFERROR(VLOOKUP(C280,Fichas!$A:$D,4,FALSE),0))))</f>
      </c>
      <c r="H280" s="10">
        <f>IF(OR(D280="",G280="",F280=0),"",D280*G280*(100/F280))</f>
      </c>
      <c r="I280" s="5"/>
    </row>
    <row r="281" spans="1:9" x14ac:dyDescent="0.25">
      <c r="A281" s="7"/>
      <c r="B281" s="8">
        <f>IF(C281="","",IF(ISNUMBER(MATCH(C281,Insumos!$A:$A,0)),"insumo",IF(ISNUMBER(MATCH(C281,Preparos!$A:$A,0)),"preparo",IF(ISNUMBER(MATCH(C281,Fichas!$A:$A,0)),"ficha",""))))</f>
      </c>
      <c r="C281" s="7"/>
      <c r="D281" s="7"/>
      <c r="E281" s="8">
        <f>IF(C281="","",IFERROR(VLOOKUP(C281,Insumos!$A:$I,9,FALSE),IFERROR(VLOOKUP(C281,Preparos!$A:$D,4,FALSE),IFERROR(IF(ISNUMBER(MATCH(C281,Fichas!$A:$A,0)),"un",""),""))))</f>
      </c>
      <c r="F281" s="8">
        <f>IF(C281="","",IFERROR(VLOOKUP(C281,Insumos!$A:$G,7,FALSE),100))</f>
      </c>
      <c r="G281" s="9">
        <f>IF(C281="","",IFERROR(VLOOKUP(C281,Insumos!$A:$J,10,FALSE),IFERROR(VLOOKUP(C281,Preparos!$A:$F,6,FALSE),IFERROR(VLOOKUP(C281,Fichas!$A:$D,4,FALSE),0))))</f>
      </c>
      <c r="H281" s="10">
        <f>IF(OR(D281="",G281="",F281=0),"",D281*G281*(100/F281))</f>
      </c>
      <c r="I281" s="5"/>
    </row>
    <row r="282" spans="1:9" x14ac:dyDescent="0.25">
      <c r="A282" s="7"/>
      <c r="B282" s="8">
        <f>IF(C282="","",IF(ISNUMBER(MATCH(C282,Insumos!$A:$A,0)),"insumo",IF(ISNUMBER(MATCH(C282,Preparos!$A:$A,0)),"preparo",IF(ISNUMBER(MATCH(C282,Fichas!$A:$A,0)),"ficha",""))))</f>
      </c>
      <c r="C282" s="7"/>
      <c r="D282" s="7"/>
      <c r="E282" s="8">
        <f>IF(C282="","",IFERROR(VLOOKUP(C282,Insumos!$A:$I,9,FALSE),IFERROR(VLOOKUP(C282,Preparos!$A:$D,4,FALSE),IFERROR(IF(ISNUMBER(MATCH(C282,Fichas!$A:$A,0)),"un",""),""))))</f>
      </c>
      <c r="F282" s="8">
        <f>IF(C282="","",IFERROR(VLOOKUP(C282,Insumos!$A:$G,7,FALSE),100))</f>
      </c>
      <c r="G282" s="9">
        <f>IF(C282="","",IFERROR(VLOOKUP(C282,Insumos!$A:$J,10,FALSE),IFERROR(VLOOKUP(C282,Preparos!$A:$F,6,FALSE),IFERROR(VLOOKUP(C282,Fichas!$A:$D,4,FALSE),0))))</f>
      </c>
      <c r="H282" s="10">
        <f>IF(OR(D282="",G282="",F282=0),"",D282*G282*(100/F282))</f>
      </c>
      <c r="I282" s="5"/>
    </row>
    <row r="283" spans="1:9" x14ac:dyDescent="0.25">
      <c r="A283" s="7"/>
      <c r="B283" s="8">
        <f>IF(C283="","",IF(ISNUMBER(MATCH(C283,Insumos!$A:$A,0)),"insumo",IF(ISNUMBER(MATCH(C283,Preparos!$A:$A,0)),"preparo",IF(ISNUMBER(MATCH(C283,Fichas!$A:$A,0)),"ficha",""))))</f>
      </c>
      <c r="C283" s="7"/>
      <c r="D283" s="7"/>
      <c r="E283" s="8">
        <f>IF(C283="","",IFERROR(VLOOKUP(C283,Insumos!$A:$I,9,FALSE),IFERROR(VLOOKUP(C283,Preparos!$A:$D,4,FALSE),IFERROR(IF(ISNUMBER(MATCH(C283,Fichas!$A:$A,0)),"un",""),""))))</f>
      </c>
      <c r="F283" s="8">
        <f>IF(C283="","",IFERROR(VLOOKUP(C283,Insumos!$A:$G,7,FALSE),100))</f>
      </c>
      <c r="G283" s="9">
        <f>IF(C283="","",IFERROR(VLOOKUP(C283,Insumos!$A:$J,10,FALSE),IFERROR(VLOOKUP(C283,Preparos!$A:$F,6,FALSE),IFERROR(VLOOKUP(C283,Fichas!$A:$D,4,FALSE),0))))</f>
      </c>
      <c r="H283" s="10">
        <f>IF(OR(D283="",G283="",F283=0),"",D283*G283*(100/F283))</f>
      </c>
      <c r="I283" s="5"/>
    </row>
    <row r="284" spans="1:9" x14ac:dyDescent="0.25">
      <c r="A284" s="7"/>
      <c r="B284" s="8">
        <f>IF(C284="","",IF(ISNUMBER(MATCH(C284,Insumos!$A:$A,0)),"insumo",IF(ISNUMBER(MATCH(C284,Preparos!$A:$A,0)),"preparo",IF(ISNUMBER(MATCH(C284,Fichas!$A:$A,0)),"ficha",""))))</f>
      </c>
      <c r="C284" s="7"/>
      <c r="D284" s="7"/>
      <c r="E284" s="8">
        <f>IF(C284="","",IFERROR(VLOOKUP(C284,Insumos!$A:$I,9,FALSE),IFERROR(VLOOKUP(C284,Preparos!$A:$D,4,FALSE),IFERROR(IF(ISNUMBER(MATCH(C284,Fichas!$A:$A,0)),"un",""),""))))</f>
      </c>
      <c r="F284" s="8">
        <f>IF(C284="","",IFERROR(VLOOKUP(C284,Insumos!$A:$G,7,FALSE),100))</f>
      </c>
      <c r="G284" s="9">
        <f>IF(C284="","",IFERROR(VLOOKUP(C284,Insumos!$A:$J,10,FALSE),IFERROR(VLOOKUP(C284,Preparos!$A:$F,6,FALSE),IFERROR(VLOOKUP(C284,Fichas!$A:$D,4,FALSE),0))))</f>
      </c>
      <c r="H284" s="10">
        <f>IF(OR(D284="",G284="",F284=0),"",D284*G284*(100/F284))</f>
      </c>
      <c r="I284" s="5"/>
    </row>
    <row r="285" spans="1:9" x14ac:dyDescent="0.25">
      <c r="A285" s="7"/>
      <c r="B285" s="8">
        <f>IF(C285="","",IF(ISNUMBER(MATCH(C285,Insumos!$A:$A,0)),"insumo",IF(ISNUMBER(MATCH(C285,Preparos!$A:$A,0)),"preparo",IF(ISNUMBER(MATCH(C285,Fichas!$A:$A,0)),"ficha",""))))</f>
      </c>
      <c r="C285" s="7"/>
      <c r="D285" s="7"/>
      <c r="E285" s="8">
        <f>IF(C285="","",IFERROR(VLOOKUP(C285,Insumos!$A:$I,9,FALSE),IFERROR(VLOOKUP(C285,Preparos!$A:$D,4,FALSE),IFERROR(IF(ISNUMBER(MATCH(C285,Fichas!$A:$A,0)),"un",""),""))))</f>
      </c>
      <c r="F285" s="8">
        <f>IF(C285="","",IFERROR(VLOOKUP(C285,Insumos!$A:$G,7,FALSE),100))</f>
      </c>
      <c r="G285" s="9">
        <f>IF(C285="","",IFERROR(VLOOKUP(C285,Insumos!$A:$J,10,FALSE),IFERROR(VLOOKUP(C285,Preparos!$A:$F,6,FALSE),IFERROR(VLOOKUP(C285,Fichas!$A:$D,4,FALSE),0))))</f>
      </c>
      <c r="H285" s="10">
        <f>IF(OR(D285="",G285="",F285=0),"",D285*G285*(100/F285))</f>
      </c>
      <c r="I285" s="5"/>
    </row>
    <row r="286" spans="1:9" x14ac:dyDescent="0.25">
      <c r="A286" s="7"/>
      <c r="B286" s="8">
        <f>IF(C286="","",IF(ISNUMBER(MATCH(C286,Insumos!$A:$A,0)),"insumo",IF(ISNUMBER(MATCH(C286,Preparos!$A:$A,0)),"preparo",IF(ISNUMBER(MATCH(C286,Fichas!$A:$A,0)),"ficha",""))))</f>
      </c>
      <c r="C286" s="7"/>
      <c r="D286" s="7"/>
      <c r="E286" s="8">
        <f>IF(C286="","",IFERROR(VLOOKUP(C286,Insumos!$A:$I,9,FALSE),IFERROR(VLOOKUP(C286,Preparos!$A:$D,4,FALSE),IFERROR(IF(ISNUMBER(MATCH(C286,Fichas!$A:$A,0)),"un",""),""))))</f>
      </c>
      <c r="F286" s="8">
        <f>IF(C286="","",IFERROR(VLOOKUP(C286,Insumos!$A:$G,7,FALSE),100))</f>
      </c>
      <c r="G286" s="9">
        <f>IF(C286="","",IFERROR(VLOOKUP(C286,Insumos!$A:$J,10,FALSE),IFERROR(VLOOKUP(C286,Preparos!$A:$F,6,FALSE),IFERROR(VLOOKUP(C286,Fichas!$A:$D,4,FALSE),0))))</f>
      </c>
      <c r="H286" s="10">
        <f>IF(OR(D286="",G286="",F286=0),"",D286*G286*(100/F286))</f>
      </c>
      <c r="I286" s="5"/>
    </row>
    <row r="287" spans="1:9" x14ac:dyDescent="0.25">
      <c r="A287" s="7"/>
      <c r="B287" s="8">
        <f>IF(C287="","",IF(ISNUMBER(MATCH(C287,Insumos!$A:$A,0)),"insumo",IF(ISNUMBER(MATCH(C287,Preparos!$A:$A,0)),"preparo",IF(ISNUMBER(MATCH(C287,Fichas!$A:$A,0)),"ficha",""))))</f>
      </c>
      <c r="C287" s="7"/>
      <c r="D287" s="7"/>
      <c r="E287" s="8">
        <f>IF(C287="","",IFERROR(VLOOKUP(C287,Insumos!$A:$I,9,FALSE),IFERROR(VLOOKUP(C287,Preparos!$A:$D,4,FALSE),IFERROR(IF(ISNUMBER(MATCH(C287,Fichas!$A:$A,0)),"un",""),""))))</f>
      </c>
      <c r="F287" s="8">
        <f>IF(C287="","",IFERROR(VLOOKUP(C287,Insumos!$A:$G,7,FALSE),100))</f>
      </c>
      <c r="G287" s="9">
        <f>IF(C287="","",IFERROR(VLOOKUP(C287,Insumos!$A:$J,10,FALSE),IFERROR(VLOOKUP(C287,Preparos!$A:$F,6,FALSE),IFERROR(VLOOKUP(C287,Fichas!$A:$D,4,FALSE),0))))</f>
      </c>
      <c r="H287" s="10">
        <f>IF(OR(D287="",G287="",F287=0),"",D287*G287*(100/F287))</f>
      </c>
      <c r="I287" s="5"/>
    </row>
    <row r="288" spans="1:9" x14ac:dyDescent="0.25">
      <c r="A288" s="7"/>
      <c r="B288" s="8">
        <f>IF(C288="","",IF(ISNUMBER(MATCH(C288,Insumos!$A:$A,0)),"insumo",IF(ISNUMBER(MATCH(C288,Preparos!$A:$A,0)),"preparo",IF(ISNUMBER(MATCH(C288,Fichas!$A:$A,0)),"ficha",""))))</f>
      </c>
      <c r="C288" s="7"/>
      <c r="D288" s="7"/>
      <c r="E288" s="8">
        <f>IF(C288="","",IFERROR(VLOOKUP(C288,Insumos!$A:$I,9,FALSE),IFERROR(VLOOKUP(C288,Preparos!$A:$D,4,FALSE),IFERROR(IF(ISNUMBER(MATCH(C288,Fichas!$A:$A,0)),"un",""),""))))</f>
      </c>
      <c r="F288" s="8">
        <f>IF(C288="","",IFERROR(VLOOKUP(C288,Insumos!$A:$G,7,FALSE),100))</f>
      </c>
      <c r="G288" s="9">
        <f>IF(C288="","",IFERROR(VLOOKUP(C288,Insumos!$A:$J,10,FALSE),IFERROR(VLOOKUP(C288,Preparos!$A:$F,6,FALSE),IFERROR(VLOOKUP(C288,Fichas!$A:$D,4,FALSE),0))))</f>
      </c>
      <c r="H288" s="10">
        <f>IF(OR(D288="",G288="",F288=0),"",D288*G288*(100/F288))</f>
      </c>
      <c r="I288" s="5"/>
    </row>
    <row r="289" spans="1:9" x14ac:dyDescent="0.25">
      <c r="A289" s="7"/>
      <c r="B289" s="8">
        <f>IF(C289="","",IF(ISNUMBER(MATCH(C289,Insumos!$A:$A,0)),"insumo",IF(ISNUMBER(MATCH(C289,Preparos!$A:$A,0)),"preparo",IF(ISNUMBER(MATCH(C289,Fichas!$A:$A,0)),"ficha",""))))</f>
      </c>
      <c r="C289" s="7"/>
      <c r="D289" s="7"/>
      <c r="E289" s="8">
        <f>IF(C289="","",IFERROR(VLOOKUP(C289,Insumos!$A:$I,9,FALSE),IFERROR(VLOOKUP(C289,Preparos!$A:$D,4,FALSE),IFERROR(IF(ISNUMBER(MATCH(C289,Fichas!$A:$A,0)),"un",""),""))))</f>
      </c>
      <c r="F289" s="8">
        <f>IF(C289="","",IFERROR(VLOOKUP(C289,Insumos!$A:$G,7,FALSE),100))</f>
      </c>
      <c r="G289" s="9">
        <f>IF(C289="","",IFERROR(VLOOKUP(C289,Insumos!$A:$J,10,FALSE),IFERROR(VLOOKUP(C289,Preparos!$A:$F,6,FALSE),IFERROR(VLOOKUP(C289,Fichas!$A:$D,4,FALSE),0))))</f>
      </c>
      <c r="H289" s="10">
        <f>IF(OR(D289="",G289="",F289=0),"",D289*G289*(100/F289))</f>
      </c>
      <c r="I289" s="5"/>
    </row>
    <row r="290" spans="1:9" x14ac:dyDescent="0.25">
      <c r="A290" s="7"/>
      <c r="B290" s="8">
        <f>IF(C290="","",IF(ISNUMBER(MATCH(C290,Insumos!$A:$A,0)),"insumo",IF(ISNUMBER(MATCH(C290,Preparos!$A:$A,0)),"preparo",IF(ISNUMBER(MATCH(C290,Fichas!$A:$A,0)),"ficha",""))))</f>
      </c>
      <c r="C290" s="7"/>
      <c r="D290" s="7"/>
      <c r="E290" s="8">
        <f>IF(C290="","",IFERROR(VLOOKUP(C290,Insumos!$A:$I,9,FALSE),IFERROR(VLOOKUP(C290,Preparos!$A:$D,4,FALSE),IFERROR(IF(ISNUMBER(MATCH(C290,Fichas!$A:$A,0)),"un",""),""))))</f>
      </c>
      <c r="F290" s="8">
        <f>IF(C290="","",IFERROR(VLOOKUP(C290,Insumos!$A:$G,7,FALSE),100))</f>
      </c>
      <c r="G290" s="9">
        <f>IF(C290="","",IFERROR(VLOOKUP(C290,Insumos!$A:$J,10,FALSE),IFERROR(VLOOKUP(C290,Preparos!$A:$F,6,FALSE),IFERROR(VLOOKUP(C290,Fichas!$A:$D,4,FALSE),0))))</f>
      </c>
      <c r="H290" s="10">
        <f>IF(OR(D290="",G290="",F290=0),"",D290*G290*(100/F290))</f>
      </c>
      <c r="I290" s="5"/>
    </row>
    <row r="291" spans="1:9" x14ac:dyDescent="0.25">
      <c r="A291" s="7"/>
      <c r="B291" s="8">
        <f>IF(C291="","",IF(ISNUMBER(MATCH(C291,Insumos!$A:$A,0)),"insumo",IF(ISNUMBER(MATCH(C291,Preparos!$A:$A,0)),"preparo",IF(ISNUMBER(MATCH(C291,Fichas!$A:$A,0)),"ficha",""))))</f>
      </c>
      <c r="C291" s="7"/>
      <c r="D291" s="7"/>
      <c r="E291" s="8">
        <f>IF(C291="","",IFERROR(VLOOKUP(C291,Insumos!$A:$I,9,FALSE),IFERROR(VLOOKUP(C291,Preparos!$A:$D,4,FALSE),IFERROR(IF(ISNUMBER(MATCH(C291,Fichas!$A:$A,0)),"un",""),""))))</f>
      </c>
      <c r="F291" s="8">
        <f>IF(C291="","",IFERROR(VLOOKUP(C291,Insumos!$A:$G,7,FALSE),100))</f>
      </c>
      <c r="G291" s="9">
        <f>IF(C291="","",IFERROR(VLOOKUP(C291,Insumos!$A:$J,10,FALSE),IFERROR(VLOOKUP(C291,Preparos!$A:$F,6,FALSE),IFERROR(VLOOKUP(C291,Fichas!$A:$D,4,FALSE),0))))</f>
      </c>
      <c r="H291" s="10">
        <f>IF(OR(D291="",G291="",F291=0),"",D291*G291*(100/F291))</f>
      </c>
      <c r="I291" s="5"/>
    </row>
    <row r="292" spans="1:9" x14ac:dyDescent="0.25">
      <c r="A292" s="7"/>
      <c r="B292" s="8">
        <f>IF(C292="","",IF(ISNUMBER(MATCH(C292,Insumos!$A:$A,0)),"insumo",IF(ISNUMBER(MATCH(C292,Preparos!$A:$A,0)),"preparo",IF(ISNUMBER(MATCH(C292,Fichas!$A:$A,0)),"ficha",""))))</f>
      </c>
      <c r="C292" s="7"/>
      <c r="D292" s="7"/>
      <c r="E292" s="8">
        <f>IF(C292="","",IFERROR(VLOOKUP(C292,Insumos!$A:$I,9,FALSE),IFERROR(VLOOKUP(C292,Preparos!$A:$D,4,FALSE),IFERROR(IF(ISNUMBER(MATCH(C292,Fichas!$A:$A,0)),"un",""),""))))</f>
      </c>
      <c r="F292" s="8">
        <f>IF(C292="","",IFERROR(VLOOKUP(C292,Insumos!$A:$G,7,FALSE),100))</f>
      </c>
      <c r="G292" s="9">
        <f>IF(C292="","",IFERROR(VLOOKUP(C292,Insumos!$A:$J,10,FALSE),IFERROR(VLOOKUP(C292,Preparos!$A:$F,6,FALSE),IFERROR(VLOOKUP(C292,Fichas!$A:$D,4,FALSE),0))))</f>
      </c>
      <c r="H292" s="10">
        <f>IF(OR(D292="",G292="",F292=0),"",D292*G292*(100/F292))</f>
      </c>
      <c r="I292" s="5"/>
    </row>
    <row r="293" spans="1:9" x14ac:dyDescent="0.25">
      <c r="A293" s="7"/>
      <c r="B293" s="8">
        <f>IF(C293="","",IF(ISNUMBER(MATCH(C293,Insumos!$A:$A,0)),"insumo",IF(ISNUMBER(MATCH(C293,Preparos!$A:$A,0)),"preparo",IF(ISNUMBER(MATCH(C293,Fichas!$A:$A,0)),"ficha",""))))</f>
      </c>
      <c r="C293" s="7"/>
      <c r="D293" s="7"/>
      <c r="E293" s="8">
        <f>IF(C293="","",IFERROR(VLOOKUP(C293,Insumos!$A:$I,9,FALSE),IFERROR(VLOOKUP(C293,Preparos!$A:$D,4,FALSE),IFERROR(IF(ISNUMBER(MATCH(C293,Fichas!$A:$A,0)),"un",""),""))))</f>
      </c>
      <c r="F293" s="8">
        <f>IF(C293="","",IFERROR(VLOOKUP(C293,Insumos!$A:$G,7,FALSE),100))</f>
      </c>
      <c r="G293" s="9">
        <f>IF(C293="","",IFERROR(VLOOKUP(C293,Insumos!$A:$J,10,FALSE),IFERROR(VLOOKUP(C293,Preparos!$A:$F,6,FALSE),IFERROR(VLOOKUP(C293,Fichas!$A:$D,4,FALSE),0))))</f>
      </c>
      <c r="H293" s="10">
        <f>IF(OR(D293="",G293="",F293=0),"",D293*G293*(100/F293))</f>
      </c>
      <c r="I293" s="5"/>
    </row>
    <row r="294" spans="1:9" x14ac:dyDescent="0.25">
      <c r="A294" s="7"/>
      <c r="B294" s="8">
        <f>IF(C294="","",IF(ISNUMBER(MATCH(C294,Insumos!$A:$A,0)),"insumo",IF(ISNUMBER(MATCH(C294,Preparos!$A:$A,0)),"preparo",IF(ISNUMBER(MATCH(C294,Fichas!$A:$A,0)),"ficha",""))))</f>
      </c>
      <c r="C294" s="7"/>
      <c r="D294" s="7"/>
      <c r="E294" s="8">
        <f>IF(C294="","",IFERROR(VLOOKUP(C294,Insumos!$A:$I,9,FALSE),IFERROR(VLOOKUP(C294,Preparos!$A:$D,4,FALSE),IFERROR(IF(ISNUMBER(MATCH(C294,Fichas!$A:$A,0)),"un",""),""))))</f>
      </c>
      <c r="F294" s="8">
        <f>IF(C294="","",IFERROR(VLOOKUP(C294,Insumos!$A:$G,7,FALSE),100))</f>
      </c>
      <c r="G294" s="9">
        <f>IF(C294="","",IFERROR(VLOOKUP(C294,Insumos!$A:$J,10,FALSE),IFERROR(VLOOKUP(C294,Preparos!$A:$F,6,FALSE),IFERROR(VLOOKUP(C294,Fichas!$A:$D,4,FALSE),0))))</f>
      </c>
      <c r="H294" s="10">
        <f>IF(OR(D294="",G294="",F294=0),"",D294*G294*(100/F294))</f>
      </c>
      <c r="I294" s="5"/>
    </row>
    <row r="295" spans="1:9" x14ac:dyDescent="0.25">
      <c r="A295" s="7"/>
      <c r="B295" s="8">
        <f>IF(C295="","",IF(ISNUMBER(MATCH(C295,Insumos!$A:$A,0)),"insumo",IF(ISNUMBER(MATCH(C295,Preparos!$A:$A,0)),"preparo",IF(ISNUMBER(MATCH(C295,Fichas!$A:$A,0)),"ficha",""))))</f>
      </c>
      <c r="C295" s="7"/>
      <c r="D295" s="7"/>
      <c r="E295" s="8">
        <f>IF(C295="","",IFERROR(VLOOKUP(C295,Insumos!$A:$I,9,FALSE),IFERROR(VLOOKUP(C295,Preparos!$A:$D,4,FALSE),IFERROR(IF(ISNUMBER(MATCH(C295,Fichas!$A:$A,0)),"un",""),""))))</f>
      </c>
      <c r="F295" s="8">
        <f>IF(C295="","",IFERROR(VLOOKUP(C295,Insumos!$A:$G,7,FALSE),100))</f>
      </c>
      <c r="G295" s="9">
        <f>IF(C295="","",IFERROR(VLOOKUP(C295,Insumos!$A:$J,10,FALSE),IFERROR(VLOOKUP(C295,Preparos!$A:$F,6,FALSE),IFERROR(VLOOKUP(C295,Fichas!$A:$D,4,FALSE),0))))</f>
      </c>
      <c r="H295" s="10">
        <f>IF(OR(D295="",G295="",F295=0),"",D295*G295*(100/F295))</f>
      </c>
      <c r="I295" s="5"/>
    </row>
    <row r="296" spans="1:9" x14ac:dyDescent="0.25">
      <c r="A296" s="7"/>
      <c r="B296" s="8">
        <f>IF(C296="","",IF(ISNUMBER(MATCH(C296,Insumos!$A:$A,0)),"insumo",IF(ISNUMBER(MATCH(C296,Preparos!$A:$A,0)),"preparo",IF(ISNUMBER(MATCH(C296,Fichas!$A:$A,0)),"ficha",""))))</f>
      </c>
      <c r="C296" s="7"/>
      <c r="D296" s="7"/>
      <c r="E296" s="8">
        <f>IF(C296="","",IFERROR(VLOOKUP(C296,Insumos!$A:$I,9,FALSE),IFERROR(VLOOKUP(C296,Preparos!$A:$D,4,FALSE),IFERROR(IF(ISNUMBER(MATCH(C296,Fichas!$A:$A,0)),"un",""),""))))</f>
      </c>
      <c r="F296" s="8">
        <f>IF(C296="","",IFERROR(VLOOKUP(C296,Insumos!$A:$G,7,FALSE),100))</f>
      </c>
      <c r="G296" s="9">
        <f>IF(C296="","",IFERROR(VLOOKUP(C296,Insumos!$A:$J,10,FALSE),IFERROR(VLOOKUP(C296,Preparos!$A:$F,6,FALSE),IFERROR(VLOOKUP(C296,Fichas!$A:$D,4,FALSE),0))))</f>
      </c>
      <c r="H296" s="10">
        <f>IF(OR(D296="",G296="",F296=0),"",D296*G296*(100/F296))</f>
      </c>
      <c r="I296" s="5"/>
    </row>
    <row r="297" spans="1:9" x14ac:dyDescent="0.25">
      <c r="A297" s="7"/>
      <c r="B297" s="8">
        <f>IF(C297="","",IF(ISNUMBER(MATCH(C297,Insumos!$A:$A,0)),"insumo",IF(ISNUMBER(MATCH(C297,Preparos!$A:$A,0)),"preparo",IF(ISNUMBER(MATCH(C297,Fichas!$A:$A,0)),"ficha",""))))</f>
      </c>
      <c r="C297" s="7"/>
      <c r="D297" s="7"/>
      <c r="E297" s="8">
        <f>IF(C297="","",IFERROR(VLOOKUP(C297,Insumos!$A:$I,9,FALSE),IFERROR(VLOOKUP(C297,Preparos!$A:$D,4,FALSE),IFERROR(IF(ISNUMBER(MATCH(C297,Fichas!$A:$A,0)),"un",""),""))))</f>
      </c>
      <c r="F297" s="8">
        <f>IF(C297="","",IFERROR(VLOOKUP(C297,Insumos!$A:$G,7,FALSE),100))</f>
      </c>
      <c r="G297" s="9">
        <f>IF(C297="","",IFERROR(VLOOKUP(C297,Insumos!$A:$J,10,FALSE),IFERROR(VLOOKUP(C297,Preparos!$A:$F,6,FALSE),IFERROR(VLOOKUP(C297,Fichas!$A:$D,4,FALSE),0))))</f>
      </c>
      <c r="H297" s="10">
        <f>IF(OR(D297="",G297="",F297=0),"",D297*G297*(100/F297))</f>
      </c>
      <c r="I297" s="5"/>
    </row>
    <row r="298" spans="1:9" x14ac:dyDescent="0.25">
      <c r="A298" s="7"/>
      <c r="B298" s="8">
        <f>IF(C298="","",IF(ISNUMBER(MATCH(C298,Insumos!$A:$A,0)),"insumo",IF(ISNUMBER(MATCH(C298,Preparos!$A:$A,0)),"preparo",IF(ISNUMBER(MATCH(C298,Fichas!$A:$A,0)),"ficha",""))))</f>
      </c>
      <c r="C298" s="7"/>
      <c r="D298" s="7"/>
      <c r="E298" s="8">
        <f>IF(C298="","",IFERROR(VLOOKUP(C298,Insumos!$A:$I,9,FALSE),IFERROR(VLOOKUP(C298,Preparos!$A:$D,4,FALSE),IFERROR(IF(ISNUMBER(MATCH(C298,Fichas!$A:$A,0)),"un",""),""))))</f>
      </c>
      <c r="F298" s="8">
        <f>IF(C298="","",IFERROR(VLOOKUP(C298,Insumos!$A:$G,7,FALSE),100))</f>
      </c>
      <c r="G298" s="9">
        <f>IF(C298="","",IFERROR(VLOOKUP(C298,Insumos!$A:$J,10,FALSE),IFERROR(VLOOKUP(C298,Preparos!$A:$F,6,FALSE),IFERROR(VLOOKUP(C298,Fichas!$A:$D,4,FALSE),0))))</f>
      </c>
      <c r="H298" s="10">
        <f>IF(OR(D298="",G298="",F298=0),"",D298*G298*(100/F298))</f>
      </c>
      <c r="I298" s="5"/>
    </row>
    <row r="299" spans="1:9" x14ac:dyDescent="0.25">
      <c r="A299" s="7"/>
      <c r="B299" s="8">
        <f>IF(C299="","",IF(ISNUMBER(MATCH(C299,Insumos!$A:$A,0)),"insumo",IF(ISNUMBER(MATCH(C299,Preparos!$A:$A,0)),"preparo",IF(ISNUMBER(MATCH(C299,Fichas!$A:$A,0)),"ficha",""))))</f>
      </c>
      <c r="C299" s="7"/>
      <c r="D299" s="7"/>
      <c r="E299" s="8">
        <f>IF(C299="","",IFERROR(VLOOKUP(C299,Insumos!$A:$I,9,FALSE),IFERROR(VLOOKUP(C299,Preparos!$A:$D,4,FALSE),IFERROR(IF(ISNUMBER(MATCH(C299,Fichas!$A:$A,0)),"un",""),""))))</f>
      </c>
      <c r="F299" s="8">
        <f>IF(C299="","",IFERROR(VLOOKUP(C299,Insumos!$A:$G,7,FALSE),100))</f>
      </c>
      <c r="G299" s="9">
        <f>IF(C299="","",IFERROR(VLOOKUP(C299,Insumos!$A:$J,10,FALSE),IFERROR(VLOOKUP(C299,Preparos!$A:$F,6,FALSE),IFERROR(VLOOKUP(C299,Fichas!$A:$D,4,FALSE),0))))</f>
      </c>
      <c r="H299" s="10">
        <f>IF(OR(D299="",G299="",F299=0),"",D299*G299*(100/F299))</f>
      </c>
      <c r="I299" s="5"/>
    </row>
    <row r="300" spans="1:9" x14ac:dyDescent="0.25">
      <c r="A300" s="7"/>
      <c r="B300" s="8">
        <f>IF(C300="","",IF(ISNUMBER(MATCH(C300,Insumos!$A:$A,0)),"insumo",IF(ISNUMBER(MATCH(C300,Preparos!$A:$A,0)),"preparo",IF(ISNUMBER(MATCH(C300,Fichas!$A:$A,0)),"ficha",""))))</f>
      </c>
      <c r="C300" s="7"/>
      <c r="D300" s="7"/>
      <c r="E300" s="8">
        <f>IF(C300="","",IFERROR(VLOOKUP(C300,Insumos!$A:$I,9,FALSE),IFERROR(VLOOKUP(C300,Preparos!$A:$D,4,FALSE),IFERROR(IF(ISNUMBER(MATCH(C300,Fichas!$A:$A,0)),"un",""),""))))</f>
      </c>
      <c r="F300" s="8">
        <f>IF(C300="","",IFERROR(VLOOKUP(C300,Insumos!$A:$G,7,FALSE),100))</f>
      </c>
      <c r="G300" s="9">
        <f>IF(C300="","",IFERROR(VLOOKUP(C300,Insumos!$A:$J,10,FALSE),IFERROR(VLOOKUP(C300,Preparos!$A:$F,6,FALSE),IFERROR(VLOOKUP(C300,Fichas!$A:$D,4,FALSE),0))))</f>
      </c>
      <c r="H300" s="10">
        <f>IF(OR(D300="",G300="",F300=0),"",D300*G300*(100/F300))</f>
      </c>
      <c r="I300" s="5"/>
    </row>
    <row r="301" spans="1:9" x14ac:dyDescent="0.25">
      <c r="A301" s="7"/>
      <c r="B301" s="8">
        <f>IF(C301="","",IF(ISNUMBER(MATCH(C301,Insumos!$A:$A,0)),"insumo",IF(ISNUMBER(MATCH(C301,Preparos!$A:$A,0)),"preparo",IF(ISNUMBER(MATCH(C301,Fichas!$A:$A,0)),"ficha",""))))</f>
      </c>
      <c r="C301" s="7"/>
      <c r="D301" s="7"/>
      <c r="E301" s="8">
        <f>IF(C301="","",IFERROR(VLOOKUP(C301,Insumos!$A:$I,9,FALSE),IFERROR(VLOOKUP(C301,Preparos!$A:$D,4,FALSE),IFERROR(IF(ISNUMBER(MATCH(C301,Fichas!$A:$A,0)),"un",""),""))))</f>
      </c>
      <c r="F301" s="8">
        <f>IF(C301="","",IFERROR(VLOOKUP(C301,Insumos!$A:$G,7,FALSE),100))</f>
      </c>
      <c r="G301" s="9">
        <f>IF(C301="","",IFERROR(VLOOKUP(C301,Insumos!$A:$J,10,FALSE),IFERROR(VLOOKUP(C301,Preparos!$A:$F,6,FALSE),IFERROR(VLOOKUP(C301,Fichas!$A:$D,4,FALSE),0))))</f>
      </c>
      <c r="H301" s="10">
        <f>IF(OR(D301="",G301="",F301=0),"",D301*G301*(100/F301))</f>
      </c>
      <c r="I301" s="5"/>
    </row>
    <row r="302" spans="1:9" x14ac:dyDescent="0.25">
      <c r="A302" s="7"/>
      <c r="B302" s="8">
        <f>IF(C302="","",IF(ISNUMBER(MATCH(C302,Insumos!$A:$A,0)),"insumo",IF(ISNUMBER(MATCH(C302,Preparos!$A:$A,0)),"preparo",IF(ISNUMBER(MATCH(C302,Fichas!$A:$A,0)),"ficha",""))))</f>
      </c>
      <c r="C302" s="7"/>
      <c r="D302" s="7"/>
      <c r="E302" s="8">
        <f>IF(C302="","",IFERROR(VLOOKUP(C302,Insumos!$A:$I,9,FALSE),IFERROR(VLOOKUP(C302,Preparos!$A:$D,4,FALSE),IFERROR(IF(ISNUMBER(MATCH(C302,Fichas!$A:$A,0)),"un",""),""))))</f>
      </c>
      <c r="F302" s="8">
        <f>IF(C302="","",IFERROR(VLOOKUP(C302,Insumos!$A:$G,7,FALSE),100))</f>
      </c>
      <c r="G302" s="9">
        <f>IF(C302="","",IFERROR(VLOOKUP(C302,Insumos!$A:$J,10,FALSE),IFERROR(VLOOKUP(C302,Preparos!$A:$F,6,FALSE),IFERROR(VLOOKUP(C302,Fichas!$A:$D,4,FALSE),0))))</f>
      </c>
      <c r="H302" s="10">
        <f>IF(OR(D302="",G302="",F302=0),"",D302*G302*(100/F302))</f>
      </c>
      <c r="I302" s="5"/>
    </row>
    <row r="303" spans="1:9" x14ac:dyDescent="0.25">
      <c r="A303" s="7"/>
      <c r="B303" s="8">
        <f>IF(C303="","",IF(ISNUMBER(MATCH(C303,Insumos!$A:$A,0)),"insumo",IF(ISNUMBER(MATCH(C303,Preparos!$A:$A,0)),"preparo",IF(ISNUMBER(MATCH(C303,Fichas!$A:$A,0)),"ficha",""))))</f>
      </c>
      <c r="C303" s="7"/>
      <c r="D303" s="7"/>
      <c r="E303" s="8">
        <f>IF(C303="","",IFERROR(VLOOKUP(C303,Insumos!$A:$I,9,FALSE),IFERROR(VLOOKUP(C303,Preparos!$A:$D,4,FALSE),IFERROR(IF(ISNUMBER(MATCH(C303,Fichas!$A:$A,0)),"un",""),""))))</f>
      </c>
      <c r="F303" s="8">
        <f>IF(C303="","",IFERROR(VLOOKUP(C303,Insumos!$A:$G,7,FALSE),100))</f>
      </c>
      <c r="G303" s="9">
        <f>IF(C303="","",IFERROR(VLOOKUP(C303,Insumos!$A:$J,10,FALSE),IFERROR(VLOOKUP(C303,Preparos!$A:$F,6,FALSE),IFERROR(VLOOKUP(C303,Fichas!$A:$D,4,FALSE),0))))</f>
      </c>
      <c r="H303" s="10">
        <f>IF(OR(D303="",G303="",F303=0),"",D303*G303*(100/F303))</f>
      </c>
      <c r="I303" s="5"/>
    </row>
    <row r="304" spans="1:9" x14ac:dyDescent="0.25">
      <c r="A304" s="7"/>
      <c r="B304" s="8">
        <f>IF(C304="","",IF(ISNUMBER(MATCH(C304,Insumos!$A:$A,0)),"insumo",IF(ISNUMBER(MATCH(C304,Preparos!$A:$A,0)),"preparo",IF(ISNUMBER(MATCH(C304,Fichas!$A:$A,0)),"ficha",""))))</f>
      </c>
      <c r="C304" s="7"/>
      <c r="D304" s="7"/>
      <c r="E304" s="8">
        <f>IF(C304="","",IFERROR(VLOOKUP(C304,Insumos!$A:$I,9,FALSE),IFERROR(VLOOKUP(C304,Preparos!$A:$D,4,FALSE),IFERROR(IF(ISNUMBER(MATCH(C304,Fichas!$A:$A,0)),"un",""),""))))</f>
      </c>
      <c r="F304" s="8">
        <f>IF(C304="","",IFERROR(VLOOKUP(C304,Insumos!$A:$G,7,FALSE),100))</f>
      </c>
      <c r="G304" s="9">
        <f>IF(C304="","",IFERROR(VLOOKUP(C304,Insumos!$A:$J,10,FALSE),IFERROR(VLOOKUP(C304,Preparos!$A:$F,6,FALSE),IFERROR(VLOOKUP(C304,Fichas!$A:$D,4,FALSE),0))))</f>
      </c>
      <c r="H304" s="10">
        <f>IF(OR(D304="",G304="",F304=0),"",D304*G304*(100/F304))</f>
      </c>
      <c r="I304" s="5"/>
    </row>
    <row r="305" spans="1:9" x14ac:dyDescent="0.25">
      <c r="A305" s="7"/>
      <c r="B305" s="8">
        <f>IF(C305="","",IF(ISNUMBER(MATCH(C305,Insumos!$A:$A,0)),"insumo",IF(ISNUMBER(MATCH(C305,Preparos!$A:$A,0)),"preparo",IF(ISNUMBER(MATCH(C305,Fichas!$A:$A,0)),"ficha",""))))</f>
      </c>
      <c r="C305" s="7"/>
      <c r="D305" s="7"/>
      <c r="E305" s="8">
        <f>IF(C305="","",IFERROR(VLOOKUP(C305,Insumos!$A:$I,9,FALSE),IFERROR(VLOOKUP(C305,Preparos!$A:$D,4,FALSE),IFERROR(IF(ISNUMBER(MATCH(C305,Fichas!$A:$A,0)),"un",""),""))))</f>
      </c>
      <c r="F305" s="8">
        <f>IF(C305="","",IFERROR(VLOOKUP(C305,Insumos!$A:$G,7,FALSE),100))</f>
      </c>
      <c r="G305" s="9">
        <f>IF(C305="","",IFERROR(VLOOKUP(C305,Insumos!$A:$J,10,FALSE),IFERROR(VLOOKUP(C305,Preparos!$A:$F,6,FALSE),IFERROR(VLOOKUP(C305,Fichas!$A:$D,4,FALSE),0))))</f>
      </c>
      <c r="H305" s="10">
        <f>IF(OR(D305="",G305="",F305=0),"",D305*G305*(100/F305))</f>
      </c>
      <c r="I305" s="5"/>
    </row>
    <row r="306" spans="1:9" x14ac:dyDescent="0.25">
      <c r="A306" s="7"/>
      <c r="B306" s="8">
        <f>IF(C306="","",IF(ISNUMBER(MATCH(C306,Insumos!$A:$A,0)),"insumo",IF(ISNUMBER(MATCH(C306,Preparos!$A:$A,0)),"preparo",IF(ISNUMBER(MATCH(C306,Fichas!$A:$A,0)),"ficha",""))))</f>
      </c>
      <c r="C306" s="7"/>
      <c r="D306" s="7"/>
      <c r="E306" s="8">
        <f>IF(C306="","",IFERROR(VLOOKUP(C306,Insumos!$A:$I,9,FALSE),IFERROR(VLOOKUP(C306,Preparos!$A:$D,4,FALSE),IFERROR(IF(ISNUMBER(MATCH(C306,Fichas!$A:$A,0)),"un",""),""))))</f>
      </c>
      <c r="F306" s="8">
        <f>IF(C306="","",IFERROR(VLOOKUP(C306,Insumos!$A:$G,7,FALSE),100))</f>
      </c>
      <c r="G306" s="9">
        <f>IF(C306="","",IFERROR(VLOOKUP(C306,Insumos!$A:$J,10,FALSE),IFERROR(VLOOKUP(C306,Preparos!$A:$F,6,FALSE),IFERROR(VLOOKUP(C306,Fichas!$A:$D,4,FALSE),0))))</f>
      </c>
      <c r="H306" s="10">
        <f>IF(OR(D306="",G306="",F306=0),"",D306*G306*(100/F306))</f>
      </c>
      <c r="I306" s="5"/>
    </row>
    <row r="307" spans="1:9" x14ac:dyDescent="0.25">
      <c r="A307" s="7"/>
      <c r="B307" s="8">
        <f>IF(C307="","",IF(ISNUMBER(MATCH(C307,Insumos!$A:$A,0)),"insumo",IF(ISNUMBER(MATCH(C307,Preparos!$A:$A,0)),"preparo",IF(ISNUMBER(MATCH(C307,Fichas!$A:$A,0)),"ficha",""))))</f>
      </c>
      <c r="C307" s="7"/>
      <c r="D307" s="7"/>
      <c r="E307" s="8">
        <f>IF(C307="","",IFERROR(VLOOKUP(C307,Insumos!$A:$I,9,FALSE),IFERROR(VLOOKUP(C307,Preparos!$A:$D,4,FALSE),IFERROR(IF(ISNUMBER(MATCH(C307,Fichas!$A:$A,0)),"un",""),""))))</f>
      </c>
      <c r="F307" s="8">
        <f>IF(C307="","",IFERROR(VLOOKUP(C307,Insumos!$A:$G,7,FALSE),100))</f>
      </c>
      <c r="G307" s="9">
        <f>IF(C307="","",IFERROR(VLOOKUP(C307,Insumos!$A:$J,10,FALSE),IFERROR(VLOOKUP(C307,Preparos!$A:$F,6,FALSE),IFERROR(VLOOKUP(C307,Fichas!$A:$D,4,FALSE),0))))</f>
      </c>
      <c r="H307" s="10">
        <f>IF(OR(D307="",G307="",F307=0),"",D307*G307*(100/F307))</f>
      </c>
      <c r="I307" s="5"/>
    </row>
    <row r="308" spans="1:9" x14ac:dyDescent="0.25">
      <c r="A308" s="7"/>
      <c r="B308" s="8">
        <f>IF(C308="","",IF(ISNUMBER(MATCH(C308,Insumos!$A:$A,0)),"insumo",IF(ISNUMBER(MATCH(C308,Preparos!$A:$A,0)),"preparo",IF(ISNUMBER(MATCH(C308,Fichas!$A:$A,0)),"ficha",""))))</f>
      </c>
      <c r="C308" s="7"/>
      <c r="D308" s="7"/>
      <c r="E308" s="8">
        <f>IF(C308="","",IFERROR(VLOOKUP(C308,Insumos!$A:$I,9,FALSE),IFERROR(VLOOKUP(C308,Preparos!$A:$D,4,FALSE),IFERROR(IF(ISNUMBER(MATCH(C308,Fichas!$A:$A,0)),"un",""),""))))</f>
      </c>
      <c r="F308" s="8">
        <f>IF(C308="","",IFERROR(VLOOKUP(C308,Insumos!$A:$G,7,FALSE),100))</f>
      </c>
      <c r="G308" s="9">
        <f>IF(C308="","",IFERROR(VLOOKUP(C308,Insumos!$A:$J,10,FALSE),IFERROR(VLOOKUP(C308,Preparos!$A:$F,6,FALSE),IFERROR(VLOOKUP(C308,Fichas!$A:$D,4,FALSE),0))))</f>
      </c>
      <c r="H308" s="10">
        <f>IF(OR(D308="",G308="",F308=0),"",D308*G308*(100/F308))</f>
      </c>
      <c r="I308" s="5"/>
    </row>
    <row r="309" spans="1:9" x14ac:dyDescent="0.25">
      <c r="A309" s="7"/>
      <c r="B309" s="8">
        <f>IF(C309="","",IF(ISNUMBER(MATCH(C309,Insumos!$A:$A,0)),"insumo",IF(ISNUMBER(MATCH(C309,Preparos!$A:$A,0)),"preparo",IF(ISNUMBER(MATCH(C309,Fichas!$A:$A,0)),"ficha",""))))</f>
      </c>
      <c r="C309" s="7"/>
      <c r="D309" s="7"/>
      <c r="E309" s="8">
        <f>IF(C309="","",IFERROR(VLOOKUP(C309,Insumos!$A:$I,9,FALSE),IFERROR(VLOOKUP(C309,Preparos!$A:$D,4,FALSE),IFERROR(IF(ISNUMBER(MATCH(C309,Fichas!$A:$A,0)),"un",""),""))))</f>
      </c>
      <c r="F309" s="8">
        <f>IF(C309="","",IFERROR(VLOOKUP(C309,Insumos!$A:$G,7,FALSE),100))</f>
      </c>
      <c r="G309" s="9">
        <f>IF(C309="","",IFERROR(VLOOKUP(C309,Insumos!$A:$J,10,FALSE),IFERROR(VLOOKUP(C309,Preparos!$A:$F,6,FALSE),IFERROR(VLOOKUP(C309,Fichas!$A:$D,4,FALSE),0))))</f>
      </c>
      <c r="H309" s="10">
        <f>IF(OR(D309="",G309="",F309=0),"",D309*G309*(100/F309))</f>
      </c>
      <c r="I309" s="5"/>
    </row>
    <row r="310" spans="1:9" x14ac:dyDescent="0.25">
      <c r="A310" s="7"/>
      <c r="B310" s="8">
        <f>IF(C310="","",IF(ISNUMBER(MATCH(C310,Insumos!$A:$A,0)),"insumo",IF(ISNUMBER(MATCH(C310,Preparos!$A:$A,0)),"preparo",IF(ISNUMBER(MATCH(C310,Fichas!$A:$A,0)),"ficha",""))))</f>
      </c>
      <c r="C310" s="7"/>
      <c r="D310" s="7"/>
      <c r="E310" s="8">
        <f>IF(C310="","",IFERROR(VLOOKUP(C310,Insumos!$A:$I,9,FALSE),IFERROR(VLOOKUP(C310,Preparos!$A:$D,4,FALSE),IFERROR(IF(ISNUMBER(MATCH(C310,Fichas!$A:$A,0)),"un",""),""))))</f>
      </c>
      <c r="F310" s="8">
        <f>IF(C310="","",IFERROR(VLOOKUP(C310,Insumos!$A:$G,7,FALSE),100))</f>
      </c>
      <c r="G310" s="9">
        <f>IF(C310="","",IFERROR(VLOOKUP(C310,Insumos!$A:$J,10,FALSE),IFERROR(VLOOKUP(C310,Preparos!$A:$F,6,FALSE),IFERROR(VLOOKUP(C310,Fichas!$A:$D,4,FALSE),0))))</f>
      </c>
      <c r="H310" s="10">
        <f>IF(OR(D310="",G310="",F310=0),"",D310*G310*(100/F310))</f>
      </c>
      <c r="I310" s="5"/>
    </row>
    <row r="311" spans="1:9" x14ac:dyDescent="0.25">
      <c r="A311" s="7"/>
      <c r="B311" s="8">
        <f>IF(C311="","",IF(ISNUMBER(MATCH(C311,Insumos!$A:$A,0)),"insumo",IF(ISNUMBER(MATCH(C311,Preparos!$A:$A,0)),"preparo",IF(ISNUMBER(MATCH(C311,Fichas!$A:$A,0)),"ficha",""))))</f>
      </c>
      <c r="C311" s="7"/>
      <c r="D311" s="7"/>
      <c r="E311" s="8">
        <f>IF(C311="","",IFERROR(VLOOKUP(C311,Insumos!$A:$I,9,FALSE),IFERROR(VLOOKUP(C311,Preparos!$A:$D,4,FALSE),IFERROR(IF(ISNUMBER(MATCH(C311,Fichas!$A:$A,0)),"un",""),""))))</f>
      </c>
      <c r="F311" s="8">
        <f>IF(C311="","",IFERROR(VLOOKUP(C311,Insumos!$A:$G,7,FALSE),100))</f>
      </c>
      <c r="G311" s="9">
        <f>IF(C311="","",IFERROR(VLOOKUP(C311,Insumos!$A:$J,10,FALSE),IFERROR(VLOOKUP(C311,Preparos!$A:$F,6,FALSE),IFERROR(VLOOKUP(C311,Fichas!$A:$D,4,FALSE),0))))</f>
      </c>
      <c r="H311" s="10">
        <f>IF(OR(D311="",G311="",F311=0),"",D311*G311*(100/F311))</f>
      </c>
      <c r="I311" s="5"/>
    </row>
    <row r="312" spans="1:9" x14ac:dyDescent="0.25">
      <c r="A312" s="7"/>
      <c r="B312" s="8">
        <f>IF(C312="","",IF(ISNUMBER(MATCH(C312,Insumos!$A:$A,0)),"insumo",IF(ISNUMBER(MATCH(C312,Preparos!$A:$A,0)),"preparo",IF(ISNUMBER(MATCH(C312,Fichas!$A:$A,0)),"ficha",""))))</f>
      </c>
      <c r="C312" s="7"/>
      <c r="D312" s="7"/>
      <c r="E312" s="8">
        <f>IF(C312="","",IFERROR(VLOOKUP(C312,Insumos!$A:$I,9,FALSE),IFERROR(VLOOKUP(C312,Preparos!$A:$D,4,FALSE),IFERROR(IF(ISNUMBER(MATCH(C312,Fichas!$A:$A,0)),"un",""),""))))</f>
      </c>
      <c r="F312" s="8">
        <f>IF(C312="","",IFERROR(VLOOKUP(C312,Insumos!$A:$G,7,FALSE),100))</f>
      </c>
      <c r="G312" s="9">
        <f>IF(C312="","",IFERROR(VLOOKUP(C312,Insumos!$A:$J,10,FALSE),IFERROR(VLOOKUP(C312,Preparos!$A:$F,6,FALSE),IFERROR(VLOOKUP(C312,Fichas!$A:$D,4,FALSE),0))))</f>
      </c>
      <c r="H312" s="10">
        <f>IF(OR(D312="",G312="",F312=0),"",D312*G312*(100/F312))</f>
      </c>
      <c r="I312" s="5"/>
    </row>
    <row r="313" spans="1:9" x14ac:dyDescent="0.25">
      <c r="A313" s="7"/>
      <c r="B313" s="8">
        <f>IF(C313="","",IF(ISNUMBER(MATCH(C313,Insumos!$A:$A,0)),"insumo",IF(ISNUMBER(MATCH(C313,Preparos!$A:$A,0)),"preparo",IF(ISNUMBER(MATCH(C313,Fichas!$A:$A,0)),"ficha",""))))</f>
      </c>
      <c r="C313" s="7"/>
      <c r="D313" s="7"/>
      <c r="E313" s="8">
        <f>IF(C313="","",IFERROR(VLOOKUP(C313,Insumos!$A:$I,9,FALSE),IFERROR(VLOOKUP(C313,Preparos!$A:$D,4,FALSE),IFERROR(IF(ISNUMBER(MATCH(C313,Fichas!$A:$A,0)),"un",""),""))))</f>
      </c>
      <c r="F313" s="8">
        <f>IF(C313="","",IFERROR(VLOOKUP(C313,Insumos!$A:$G,7,FALSE),100))</f>
      </c>
      <c r="G313" s="9">
        <f>IF(C313="","",IFERROR(VLOOKUP(C313,Insumos!$A:$J,10,FALSE),IFERROR(VLOOKUP(C313,Preparos!$A:$F,6,FALSE),IFERROR(VLOOKUP(C313,Fichas!$A:$D,4,FALSE),0))))</f>
      </c>
      <c r="H313" s="10">
        <f>IF(OR(D313="",G313="",F313=0),"",D313*G313*(100/F313))</f>
      </c>
      <c r="I313" s="5"/>
    </row>
    <row r="314" spans="1:9" x14ac:dyDescent="0.25">
      <c r="A314" s="7"/>
      <c r="B314" s="8">
        <f>IF(C314="","",IF(ISNUMBER(MATCH(C314,Insumos!$A:$A,0)),"insumo",IF(ISNUMBER(MATCH(C314,Preparos!$A:$A,0)),"preparo",IF(ISNUMBER(MATCH(C314,Fichas!$A:$A,0)),"ficha",""))))</f>
      </c>
      <c r="C314" s="7"/>
      <c r="D314" s="7"/>
      <c r="E314" s="8">
        <f>IF(C314="","",IFERROR(VLOOKUP(C314,Insumos!$A:$I,9,FALSE),IFERROR(VLOOKUP(C314,Preparos!$A:$D,4,FALSE),IFERROR(IF(ISNUMBER(MATCH(C314,Fichas!$A:$A,0)),"un",""),""))))</f>
      </c>
      <c r="F314" s="8">
        <f>IF(C314="","",IFERROR(VLOOKUP(C314,Insumos!$A:$G,7,FALSE),100))</f>
      </c>
      <c r="G314" s="9">
        <f>IF(C314="","",IFERROR(VLOOKUP(C314,Insumos!$A:$J,10,FALSE),IFERROR(VLOOKUP(C314,Preparos!$A:$F,6,FALSE),IFERROR(VLOOKUP(C314,Fichas!$A:$D,4,FALSE),0))))</f>
      </c>
      <c r="H314" s="10">
        <f>IF(OR(D314="",G314="",F314=0),"",D314*G314*(100/F314))</f>
      </c>
      <c r="I314" s="5"/>
    </row>
    <row r="315" spans="1:9" x14ac:dyDescent="0.25">
      <c r="A315" s="7"/>
      <c r="B315" s="8">
        <f>IF(C315="","",IF(ISNUMBER(MATCH(C315,Insumos!$A:$A,0)),"insumo",IF(ISNUMBER(MATCH(C315,Preparos!$A:$A,0)),"preparo",IF(ISNUMBER(MATCH(C315,Fichas!$A:$A,0)),"ficha",""))))</f>
      </c>
      <c r="C315" s="7"/>
      <c r="D315" s="7"/>
      <c r="E315" s="8">
        <f>IF(C315="","",IFERROR(VLOOKUP(C315,Insumos!$A:$I,9,FALSE),IFERROR(VLOOKUP(C315,Preparos!$A:$D,4,FALSE),IFERROR(IF(ISNUMBER(MATCH(C315,Fichas!$A:$A,0)),"un",""),""))))</f>
      </c>
      <c r="F315" s="8">
        <f>IF(C315="","",IFERROR(VLOOKUP(C315,Insumos!$A:$G,7,FALSE),100))</f>
      </c>
      <c r="G315" s="9">
        <f>IF(C315="","",IFERROR(VLOOKUP(C315,Insumos!$A:$J,10,FALSE),IFERROR(VLOOKUP(C315,Preparos!$A:$F,6,FALSE),IFERROR(VLOOKUP(C315,Fichas!$A:$D,4,FALSE),0))))</f>
      </c>
      <c r="H315" s="10">
        <f>IF(OR(D315="",G315="",F315=0),"",D315*G315*(100/F315))</f>
      </c>
      <c r="I315" s="5"/>
    </row>
    <row r="316" spans="1:9" x14ac:dyDescent="0.25">
      <c r="A316" s="7"/>
      <c r="B316" s="8">
        <f>IF(C316="","",IF(ISNUMBER(MATCH(C316,Insumos!$A:$A,0)),"insumo",IF(ISNUMBER(MATCH(C316,Preparos!$A:$A,0)),"preparo",IF(ISNUMBER(MATCH(C316,Fichas!$A:$A,0)),"ficha",""))))</f>
      </c>
      <c r="C316" s="7"/>
      <c r="D316" s="7"/>
      <c r="E316" s="8">
        <f>IF(C316="","",IFERROR(VLOOKUP(C316,Insumos!$A:$I,9,FALSE),IFERROR(VLOOKUP(C316,Preparos!$A:$D,4,FALSE),IFERROR(IF(ISNUMBER(MATCH(C316,Fichas!$A:$A,0)),"un",""),""))))</f>
      </c>
      <c r="F316" s="8">
        <f>IF(C316="","",IFERROR(VLOOKUP(C316,Insumos!$A:$G,7,FALSE),100))</f>
      </c>
      <c r="G316" s="9">
        <f>IF(C316="","",IFERROR(VLOOKUP(C316,Insumos!$A:$J,10,FALSE),IFERROR(VLOOKUP(C316,Preparos!$A:$F,6,FALSE),IFERROR(VLOOKUP(C316,Fichas!$A:$D,4,FALSE),0))))</f>
      </c>
      <c r="H316" s="10">
        <f>IF(OR(D316="",G316="",F316=0),"",D316*G316*(100/F316))</f>
      </c>
      <c r="I316" s="5"/>
    </row>
    <row r="317" spans="1:9" x14ac:dyDescent="0.25">
      <c r="A317" s="7"/>
      <c r="B317" s="8">
        <f>IF(C317="","",IF(ISNUMBER(MATCH(C317,Insumos!$A:$A,0)),"insumo",IF(ISNUMBER(MATCH(C317,Preparos!$A:$A,0)),"preparo",IF(ISNUMBER(MATCH(C317,Fichas!$A:$A,0)),"ficha",""))))</f>
      </c>
      <c r="C317" s="7"/>
      <c r="D317" s="7"/>
      <c r="E317" s="8">
        <f>IF(C317="","",IFERROR(VLOOKUP(C317,Insumos!$A:$I,9,FALSE),IFERROR(VLOOKUP(C317,Preparos!$A:$D,4,FALSE),IFERROR(IF(ISNUMBER(MATCH(C317,Fichas!$A:$A,0)),"un",""),""))))</f>
      </c>
      <c r="F317" s="8">
        <f>IF(C317="","",IFERROR(VLOOKUP(C317,Insumos!$A:$G,7,FALSE),100))</f>
      </c>
      <c r="G317" s="9">
        <f>IF(C317="","",IFERROR(VLOOKUP(C317,Insumos!$A:$J,10,FALSE),IFERROR(VLOOKUP(C317,Preparos!$A:$F,6,FALSE),IFERROR(VLOOKUP(C317,Fichas!$A:$D,4,FALSE),0))))</f>
      </c>
      <c r="H317" s="10">
        <f>IF(OR(D317="",G317="",F317=0),"",D317*G317*(100/F317))</f>
      </c>
      <c r="I317" s="5"/>
    </row>
    <row r="318" spans="1:9" x14ac:dyDescent="0.25">
      <c r="A318" s="7"/>
      <c r="B318" s="8">
        <f>IF(C318="","",IF(ISNUMBER(MATCH(C318,Insumos!$A:$A,0)),"insumo",IF(ISNUMBER(MATCH(C318,Preparos!$A:$A,0)),"preparo",IF(ISNUMBER(MATCH(C318,Fichas!$A:$A,0)),"ficha",""))))</f>
      </c>
      <c r="C318" s="7"/>
      <c r="D318" s="7"/>
      <c r="E318" s="8">
        <f>IF(C318="","",IFERROR(VLOOKUP(C318,Insumos!$A:$I,9,FALSE),IFERROR(VLOOKUP(C318,Preparos!$A:$D,4,FALSE),IFERROR(IF(ISNUMBER(MATCH(C318,Fichas!$A:$A,0)),"un",""),""))))</f>
      </c>
      <c r="F318" s="8">
        <f>IF(C318="","",IFERROR(VLOOKUP(C318,Insumos!$A:$G,7,FALSE),100))</f>
      </c>
      <c r="G318" s="9">
        <f>IF(C318="","",IFERROR(VLOOKUP(C318,Insumos!$A:$J,10,FALSE),IFERROR(VLOOKUP(C318,Preparos!$A:$F,6,FALSE),IFERROR(VLOOKUP(C318,Fichas!$A:$D,4,FALSE),0))))</f>
      </c>
      <c r="H318" s="10">
        <f>IF(OR(D318="",G318="",F318=0),"",D318*G318*(100/F318))</f>
      </c>
      <c r="I318" s="5"/>
    </row>
    <row r="319" spans="1:9" x14ac:dyDescent="0.25">
      <c r="A319" s="7"/>
      <c r="B319" s="8">
        <f>IF(C319="","",IF(ISNUMBER(MATCH(C319,Insumos!$A:$A,0)),"insumo",IF(ISNUMBER(MATCH(C319,Preparos!$A:$A,0)),"preparo",IF(ISNUMBER(MATCH(C319,Fichas!$A:$A,0)),"ficha",""))))</f>
      </c>
      <c r="C319" s="7"/>
      <c r="D319" s="7"/>
      <c r="E319" s="8">
        <f>IF(C319="","",IFERROR(VLOOKUP(C319,Insumos!$A:$I,9,FALSE),IFERROR(VLOOKUP(C319,Preparos!$A:$D,4,FALSE),IFERROR(IF(ISNUMBER(MATCH(C319,Fichas!$A:$A,0)),"un",""),""))))</f>
      </c>
      <c r="F319" s="8">
        <f>IF(C319="","",IFERROR(VLOOKUP(C319,Insumos!$A:$G,7,FALSE),100))</f>
      </c>
      <c r="G319" s="9">
        <f>IF(C319="","",IFERROR(VLOOKUP(C319,Insumos!$A:$J,10,FALSE),IFERROR(VLOOKUP(C319,Preparos!$A:$F,6,FALSE),IFERROR(VLOOKUP(C319,Fichas!$A:$D,4,FALSE),0))))</f>
      </c>
      <c r="H319" s="10">
        <f>IF(OR(D319="",G319="",F319=0),"",D319*G319*(100/F319))</f>
      </c>
      <c r="I319" s="5"/>
    </row>
    <row r="320" spans="1:9" x14ac:dyDescent="0.25">
      <c r="A320" s="7"/>
      <c r="B320" s="8">
        <f>IF(C320="","",IF(ISNUMBER(MATCH(C320,Insumos!$A:$A,0)),"insumo",IF(ISNUMBER(MATCH(C320,Preparos!$A:$A,0)),"preparo",IF(ISNUMBER(MATCH(C320,Fichas!$A:$A,0)),"ficha",""))))</f>
      </c>
      <c r="C320" s="7"/>
      <c r="D320" s="7"/>
      <c r="E320" s="8">
        <f>IF(C320="","",IFERROR(VLOOKUP(C320,Insumos!$A:$I,9,FALSE),IFERROR(VLOOKUP(C320,Preparos!$A:$D,4,FALSE),IFERROR(IF(ISNUMBER(MATCH(C320,Fichas!$A:$A,0)),"un",""),""))))</f>
      </c>
      <c r="F320" s="8">
        <f>IF(C320="","",IFERROR(VLOOKUP(C320,Insumos!$A:$G,7,FALSE),100))</f>
      </c>
      <c r="G320" s="9">
        <f>IF(C320="","",IFERROR(VLOOKUP(C320,Insumos!$A:$J,10,FALSE),IFERROR(VLOOKUP(C320,Preparos!$A:$F,6,FALSE),IFERROR(VLOOKUP(C320,Fichas!$A:$D,4,FALSE),0))))</f>
      </c>
      <c r="H320" s="10">
        <f>IF(OR(D320="",G320="",F320=0),"",D320*G320*(100/F320))</f>
      </c>
      <c r="I320" s="5"/>
    </row>
    <row r="321" spans="1:9" x14ac:dyDescent="0.25">
      <c r="A321" s="7"/>
      <c r="B321" s="8">
        <f>IF(C321="","",IF(ISNUMBER(MATCH(C321,Insumos!$A:$A,0)),"insumo",IF(ISNUMBER(MATCH(C321,Preparos!$A:$A,0)),"preparo",IF(ISNUMBER(MATCH(C321,Fichas!$A:$A,0)),"ficha",""))))</f>
      </c>
      <c r="C321" s="7"/>
      <c r="D321" s="7"/>
      <c r="E321" s="8">
        <f>IF(C321="","",IFERROR(VLOOKUP(C321,Insumos!$A:$I,9,FALSE),IFERROR(VLOOKUP(C321,Preparos!$A:$D,4,FALSE),IFERROR(IF(ISNUMBER(MATCH(C321,Fichas!$A:$A,0)),"un",""),""))))</f>
      </c>
      <c r="F321" s="8">
        <f>IF(C321="","",IFERROR(VLOOKUP(C321,Insumos!$A:$G,7,FALSE),100))</f>
      </c>
      <c r="G321" s="9">
        <f>IF(C321="","",IFERROR(VLOOKUP(C321,Insumos!$A:$J,10,FALSE),IFERROR(VLOOKUP(C321,Preparos!$A:$F,6,FALSE),IFERROR(VLOOKUP(C321,Fichas!$A:$D,4,FALSE),0))))</f>
      </c>
      <c r="H321" s="10">
        <f>IF(OR(D321="",G321="",F321=0),"",D321*G321*(100/F321))</f>
      </c>
      <c r="I321" s="5"/>
    </row>
    <row r="322" spans="1:9" x14ac:dyDescent="0.25">
      <c r="A322" s="7"/>
      <c r="B322" s="8">
        <f>IF(C322="","",IF(ISNUMBER(MATCH(C322,Insumos!$A:$A,0)),"insumo",IF(ISNUMBER(MATCH(C322,Preparos!$A:$A,0)),"preparo",IF(ISNUMBER(MATCH(C322,Fichas!$A:$A,0)),"ficha",""))))</f>
      </c>
      <c r="C322" s="7"/>
      <c r="D322" s="7"/>
      <c r="E322" s="8">
        <f>IF(C322="","",IFERROR(VLOOKUP(C322,Insumos!$A:$I,9,FALSE),IFERROR(VLOOKUP(C322,Preparos!$A:$D,4,FALSE),IFERROR(IF(ISNUMBER(MATCH(C322,Fichas!$A:$A,0)),"un",""),""))))</f>
      </c>
      <c r="F322" s="8">
        <f>IF(C322="","",IFERROR(VLOOKUP(C322,Insumos!$A:$G,7,FALSE),100))</f>
      </c>
      <c r="G322" s="9">
        <f>IF(C322="","",IFERROR(VLOOKUP(C322,Insumos!$A:$J,10,FALSE),IFERROR(VLOOKUP(C322,Preparos!$A:$F,6,FALSE),IFERROR(VLOOKUP(C322,Fichas!$A:$D,4,FALSE),0))))</f>
      </c>
      <c r="H322" s="10">
        <f>IF(OR(D322="",G322="",F322=0),"",D322*G322*(100/F322))</f>
      </c>
      <c r="I322" s="5"/>
    </row>
    <row r="323" spans="1:9" x14ac:dyDescent="0.25">
      <c r="A323" s="7"/>
      <c r="B323" s="8">
        <f>IF(C323="","",IF(ISNUMBER(MATCH(C323,Insumos!$A:$A,0)),"insumo",IF(ISNUMBER(MATCH(C323,Preparos!$A:$A,0)),"preparo",IF(ISNUMBER(MATCH(C323,Fichas!$A:$A,0)),"ficha",""))))</f>
      </c>
      <c r="C323" s="7"/>
      <c r="D323" s="7"/>
      <c r="E323" s="8">
        <f>IF(C323="","",IFERROR(VLOOKUP(C323,Insumos!$A:$I,9,FALSE),IFERROR(VLOOKUP(C323,Preparos!$A:$D,4,FALSE),IFERROR(IF(ISNUMBER(MATCH(C323,Fichas!$A:$A,0)),"un",""),""))))</f>
      </c>
      <c r="F323" s="8">
        <f>IF(C323="","",IFERROR(VLOOKUP(C323,Insumos!$A:$G,7,FALSE),100))</f>
      </c>
      <c r="G323" s="9">
        <f>IF(C323="","",IFERROR(VLOOKUP(C323,Insumos!$A:$J,10,FALSE),IFERROR(VLOOKUP(C323,Preparos!$A:$F,6,FALSE),IFERROR(VLOOKUP(C323,Fichas!$A:$D,4,FALSE),0))))</f>
      </c>
      <c r="H323" s="10">
        <f>IF(OR(D323="",G323="",F323=0),"",D323*G323*(100/F323))</f>
      </c>
      <c r="I323" s="5"/>
    </row>
    <row r="324" spans="1:9" x14ac:dyDescent="0.25">
      <c r="A324" s="7"/>
      <c r="B324" s="8">
        <f>IF(C324="","",IF(ISNUMBER(MATCH(C324,Insumos!$A:$A,0)),"insumo",IF(ISNUMBER(MATCH(C324,Preparos!$A:$A,0)),"preparo",IF(ISNUMBER(MATCH(C324,Fichas!$A:$A,0)),"ficha",""))))</f>
      </c>
      <c r="C324" s="7"/>
      <c r="D324" s="7"/>
      <c r="E324" s="8">
        <f>IF(C324="","",IFERROR(VLOOKUP(C324,Insumos!$A:$I,9,FALSE),IFERROR(VLOOKUP(C324,Preparos!$A:$D,4,FALSE),IFERROR(IF(ISNUMBER(MATCH(C324,Fichas!$A:$A,0)),"un",""),""))))</f>
      </c>
      <c r="F324" s="8">
        <f>IF(C324="","",IFERROR(VLOOKUP(C324,Insumos!$A:$G,7,FALSE),100))</f>
      </c>
      <c r="G324" s="9">
        <f>IF(C324="","",IFERROR(VLOOKUP(C324,Insumos!$A:$J,10,FALSE),IFERROR(VLOOKUP(C324,Preparos!$A:$F,6,FALSE),IFERROR(VLOOKUP(C324,Fichas!$A:$D,4,FALSE),0))))</f>
      </c>
      <c r="H324" s="10">
        <f>IF(OR(D324="",G324="",F324=0),"",D324*G324*(100/F324))</f>
      </c>
      <c r="I324" s="5"/>
    </row>
    <row r="325" spans="1:9" x14ac:dyDescent="0.25">
      <c r="A325" s="7"/>
      <c r="B325" s="8">
        <f>IF(C325="","",IF(ISNUMBER(MATCH(C325,Insumos!$A:$A,0)),"insumo",IF(ISNUMBER(MATCH(C325,Preparos!$A:$A,0)),"preparo",IF(ISNUMBER(MATCH(C325,Fichas!$A:$A,0)),"ficha",""))))</f>
      </c>
      <c r="C325" s="7"/>
      <c r="D325" s="7"/>
      <c r="E325" s="8">
        <f>IF(C325="","",IFERROR(VLOOKUP(C325,Insumos!$A:$I,9,FALSE),IFERROR(VLOOKUP(C325,Preparos!$A:$D,4,FALSE),IFERROR(IF(ISNUMBER(MATCH(C325,Fichas!$A:$A,0)),"un",""),""))))</f>
      </c>
      <c r="F325" s="8">
        <f>IF(C325="","",IFERROR(VLOOKUP(C325,Insumos!$A:$G,7,FALSE),100))</f>
      </c>
      <c r="G325" s="9">
        <f>IF(C325="","",IFERROR(VLOOKUP(C325,Insumos!$A:$J,10,FALSE),IFERROR(VLOOKUP(C325,Preparos!$A:$F,6,FALSE),IFERROR(VLOOKUP(C325,Fichas!$A:$D,4,FALSE),0))))</f>
      </c>
      <c r="H325" s="10">
        <f>IF(OR(D325="",G325="",F325=0),"",D325*G325*(100/F325))</f>
      </c>
      <c r="I325" s="5"/>
    </row>
    <row r="326" spans="1:9" x14ac:dyDescent="0.25">
      <c r="A326" s="7"/>
      <c r="B326" s="8">
        <f>IF(C326="","",IF(ISNUMBER(MATCH(C326,Insumos!$A:$A,0)),"insumo",IF(ISNUMBER(MATCH(C326,Preparos!$A:$A,0)),"preparo",IF(ISNUMBER(MATCH(C326,Fichas!$A:$A,0)),"ficha",""))))</f>
      </c>
      <c r="C326" s="7"/>
      <c r="D326" s="7"/>
      <c r="E326" s="8">
        <f>IF(C326="","",IFERROR(VLOOKUP(C326,Insumos!$A:$I,9,FALSE),IFERROR(VLOOKUP(C326,Preparos!$A:$D,4,FALSE),IFERROR(IF(ISNUMBER(MATCH(C326,Fichas!$A:$A,0)),"un",""),""))))</f>
      </c>
      <c r="F326" s="8">
        <f>IF(C326="","",IFERROR(VLOOKUP(C326,Insumos!$A:$G,7,FALSE),100))</f>
      </c>
      <c r="G326" s="9">
        <f>IF(C326="","",IFERROR(VLOOKUP(C326,Insumos!$A:$J,10,FALSE),IFERROR(VLOOKUP(C326,Preparos!$A:$F,6,FALSE),IFERROR(VLOOKUP(C326,Fichas!$A:$D,4,FALSE),0))))</f>
      </c>
      <c r="H326" s="10">
        <f>IF(OR(D326="",G326="",F326=0),"",D326*G326*(100/F326))</f>
      </c>
      <c r="I326" s="5"/>
    </row>
    <row r="327" spans="1:9" x14ac:dyDescent="0.25">
      <c r="A327" s="7"/>
      <c r="B327" s="8">
        <f>IF(C327="","",IF(ISNUMBER(MATCH(C327,Insumos!$A:$A,0)),"insumo",IF(ISNUMBER(MATCH(C327,Preparos!$A:$A,0)),"preparo",IF(ISNUMBER(MATCH(C327,Fichas!$A:$A,0)),"ficha",""))))</f>
      </c>
      <c r="C327" s="7"/>
      <c r="D327" s="7"/>
      <c r="E327" s="8">
        <f>IF(C327="","",IFERROR(VLOOKUP(C327,Insumos!$A:$I,9,FALSE),IFERROR(VLOOKUP(C327,Preparos!$A:$D,4,FALSE),IFERROR(IF(ISNUMBER(MATCH(C327,Fichas!$A:$A,0)),"un",""),""))))</f>
      </c>
      <c r="F327" s="8">
        <f>IF(C327="","",IFERROR(VLOOKUP(C327,Insumos!$A:$G,7,FALSE),100))</f>
      </c>
      <c r="G327" s="9">
        <f>IF(C327="","",IFERROR(VLOOKUP(C327,Insumos!$A:$J,10,FALSE),IFERROR(VLOOKUP(C327,Preparos!$A:$F,6,FALSE),IFERROR(VLOOKUP(C327,Fichas!$A:$D,4,FALSE),0))))</f>
      </c>
      <c r="H327" s="10">
        <f>IF(OR(D327="",G327="",F327=0),"",D327*G327*(100/F327))</f>
      </c>
      <c r="I327" s="5"/>
    </row>
    <row r="328" spans="1:9" x14ac:dyDescent="0.25">
      <c r="A328" s="7"/>
      <c r="B328" s="8">
        <f>IF(C328="","",IF(ISNUMBER(MATCH(C328,Insumos!$A:$A,0)),"insumo",IF(ISNUMBER(MATCH(C328,Preparos!$A:$A,0)),"preparo",IF(ISNUMBER(MATCH(C328,Fichas!$A:$A,0)),"ficha",""))))</f>
      </c>
      <c r="C328" s="7"/>
      <c r="D328" s="7"/>
      <c r="E328" s="8">
        <f>IF(C328="","",IFERROR(VLOOKUP(C328,Insumos!$A:$I,9,FALSE),IFERROR(VLOOKUP(C328,Preparos!$A:$D,4,FALSE),IFERROR(IF(ISNUMBER(MATCH(C328,Fichas!$A:$A,0)),"un",""),""))))</f>
      </c>
      <c r="F328" s="8">
        <f>IF(C328="","",IFERROR(VLOOKUP(C328,Insumos!$A:$G,7,FALSE),100))</f>
      </c>
      <c r="G328" s="9">
        <f>IF(C328="","",IFERROR(VLOOKUP(C328,Insumos!$A:$J,10,FALSE),IFERROR(VLOOKUP(C328,Preparos!$A:$F,6,FALSE),IFERROR(VLOOKUP(C328,Fichas!$A:$D,4,FALSE),0))))</f>
      </c>
      <c r="H328" s="10">
        <f>IF(OR(D328="",G328="",F328=0),"",D328*G328*(100/F328))</f>
      </c>
      <c r="I328" s="5"/>
    </row>
    <row r="329" spans="1:9" x14ac:dyDescent="0.25">
      <c r="A329" s="7"/>
      <c r="B329" s="8">
        <f>IF(C329="","",IF(ISNUMBER(MATCH(C329,Insumos!$A:$A,0)),"insumo",IF(ISNUMBER(MATCH(C329,Preparos!$A:$A,0)),"preparo",IF(ISNUMBER(MATCH(C329,Fichas!$A:$A,0)),"ficha",""))))</f>
      </c>
      <c r="C329" s="7"/>
      <c r="D329" s="7"/>
      <c r="E329" s="8">
        <f>IF(C329="","",IFERROR(VLOOKUP(C329,Insumos!$A:$I,9,FALSE),IFERROR(VLOOKUP(C329,Preparos!$A:$D,4,FALSE),IFERROR(IF(ISNUMBER(MATCH(C329,Fichas!$A:$A,0)),"un",""),""))))</f>
      </c>
      <c r="F329" s="8">
        <f>IF(C329="","",IFERROR(VLOOKUP(C329,Insumos!$A:$G,7,FALSE),100))</f>
      </c>
      <c r="G329" s="9">
        <f>IF(C329="","",IFERROR(VLOOKUP(C329,Insumos!$A:$J,10,FALSE),IFERROR(VLOOKUP(C329,Preparos!$A:$F,6,FALSE),IFERROR(VLOOKUP(C329,Fichas!$A:$D,4,FALSE),0))))</f>
      </c>
      <c r="H329" s="10">
        <f>IF(OR(D329="",G329="",F329=0),"",D329*G329*(100/F329))</f>
      </c>
      <c r="I329" s="5"/>
    </row>
    <row r="330" spans="1:9" x14ac:dyDescent="0.25">
      <c r="A330" s="7"/>
      <c r="B330" s="8">
        <f>IF(C330="","",IF(ISNUMBER(MATCH(C330,Insumos!$A:$A,0)),"insumo",IF(ISNUMBER(MATCH(C330,Preparos!$A:$A,0)),"preparo",IF(ISNUMBER(MATCH(C330,Fichas!$A:$A,0)),"ficha",""))))</f>
      </c>
      <c r="C330" s="7"/>
      <c r="D330" s="7"/>
      <c r="E330" s="8">
        <f>IF(C330="","",IFERROR(VLOOKUP(C330,Insumos!$A:$I,9,FALSE),IFERROR(VLOOKUP(C330,Preparos!$A:$D,4,FALSE),IFERROR(IF(ISNUMBER(MATCH(C330,Fichas!$A:$A,0)),"un",""),""))))</f>
      </c>
      <c r="F330" s="8">
        <f>IF(C330="","",IFERROR(VLOOKUP(C330,Insumos!$A:$G,7,FALSE),100))</f>
      </c>
      <c r="G330" s="9">
        <f>IF(C330="","",IFERROR(VLOOKUP(C330,Insumos!$A:$J,10,FALSE),IFERROR(VLOOKUP(C330,Preparos!$A:$F,6,FALSE),IFERROR(VLOOKUP(C330,Fichas!$A:$D,4,FALSE),0))))</f>
      </c>
      <c r="H330" s="10">
        <f>IF(OR(D330="",G330="",F330=0),"",D330*G330*(100/F330))</f>
      </c>
      <c r="I330" s="5"/>
    </row>
    <row r="331" spans="1:9" x14ac:dyDescent="0.25">
      <c r="A331" s="7"/>
      <c r="B331" s="8">
        <f>IF(C331="","",IF(ISNUMBER(MATCH(C331,Insumos!$A:$A,0)),"insumo",IF(ISNUMBER(MATCH(C331,Preparos!$A:$A,0)),"preparo",IF(ISNUMBER(MATCH(C331,Fichas!$A:$A,0)),"ficha",""))))</f>
      </c>
      <c r="C331" s="7"/>
      <c r="D331" s="7"/>
      <c r="E331" s="8">
        <f>IF(C331="","",IFERROR(VLOOKUP(C331,Insumos!$A:$I,9,FALSE),IFERROR(VLOOKUP(C331,Preparos!$A:$D,4,FALSE),IFERROR(IF(ISNUMBER(MATCH(C331,Fichas!$A:$A,0)),"un",""),""))))</f>
      </c>
      <c r="F331" s="8">
        <f>IF(C331="","",IFERROR(VLOOKUP(C331,Insumos!$A:$G,7,FALSE),100))</f>
      </c>
      <c r="G331" s="9">
        <f>IF(C331="","",IFERROR(VLOOKUP(C331,Insumos!$A:$J,10,FALSE),IFERROR(VLOOKUP(C331,Preparos!$A:$F,6,FALSE),IFERROR(VLOOKUP(C331,Fichas!$A:$D,4,FALSE),0))))</f>
      </c>
      <c r="H331" s="10">
        <f>IF(OR(D331="",G331="",F331=0),"",D331*G331*(100/F331))</f>
      </c>
      <c r="I331" s="5"/>
    </row>
    <row r="332" spans="1:9" x14ac:dyDescent="0.25">
      <c r="A332" s="7"/>
      <c r="B332" s="8">
        <f>IF(C332="","",IF(ISNUMBER(MATCH(C332,Insumos!$A:$A,0)),"insumo",IF(ISNUMBER(MATCH(C332,Preparos!$A:$A,0)),"preparo",IF(ISNUMBER(MATCH(C332,Fichas!$A:$A,0)),"ficha",""))))</f>
      </c>
      <c r="C332" s="7"/>
      <c r="D332" s="7"/>
      <c r="E332" s="8">
        <f>IF(C332="","",IFERROR(VLOOKUP(C332,Insumos!$A:$I,9,FALSE),IFERROR(VLOOKUP(C332,Preparos!$A:$D,4,FALSE),IFERROR(IF(ISNUMBER(MATCH(C332,Fichas!$A:$A,0)),"un",""),""))))</f>
      </c>
      <c r="F332" s="8">
        <f>IF(C332="","",IFERROR(VLOOKUP(C332,Insumos!$A:$G,7,FALSE),100))</f>
      </c>
      <c r="G332" s="9">
        <f>IF(C332="","",IFERROR(VLOOKUP(C332,Insumos!$A:$J,10,FALSE),IFERROR(VLOOKUP(C332,Preparos!$A:$F,6,FALSE),IFERROR(VLOOKUP(C332,Fichas!$A:$D,4,FALSE),0))))</f>
      </c>
      <c r="H332" s="10">
        <f>IF(OR(D332="",G332="",F332=0),"",D332*G332*(100/F332))</f>
      </c>
      <c r="I332" s="5"/>
    </row>
    <row r="333" spans="1:9" x14ac:dyDescent="0.25">
      <c r="A333" s="7"/>
      <c r="B333" s="8">
        <f>IF(C333="","",IF(ISNUMBER(MATCH(C333,Insumos!$A:$A,0)),"insumo",IF(ISNUMBER(MATCH(C333,Preparos!$A:$A,0)),"preparo",IF(ISNUMBER(MATCH(C333,Fichas!$A:$A,0)),"ficha",""))))</f>
      </c>
      <c r="C333" s="7"/>
      <c r="D333" s="7"/>
      <c r="E333" s="8">
        <f>IF(C333="","",IFERROR(VLOOKUP(C333,Insumos!$A:$I,9,FALSE),IFERROR(VLOOKUP(C333,Preparos!$A:$D,4,FALSE),IFERROR(IF(ISNUMBER(MATCH(C333,Fichas!$A:$A,0)),"un",""),""))))</f>
      </c>
      <c r="F333" s="8">
        <f>IF(C333="","",IFERROR(VLOOKUP(C333,Insumos!$A:$G,7,FALSE),100))</f>
      </c>
      <c r="G333" s="9">
        <f>IF(C333="","",IFERROR(VLOOKUP(C333,Insumos!$A:$J,10,FALSE),IFERROR(VLOOKUP(C333,Preparos!$A:$F,6,FALSE),IFERROR(VLOOKUP(C333,Fichas!$A:$D,4,FALSE),0))))</f>
      </c>
      <c r="H333" s="10">
        <f>IF(OR(D333="",G333="",F333=0),"",D333*G333*(100/F333))</f>
      </c>
      <c r="I333" s="5"/>
    </row>
    <row r="334" spans="1:9" x14ac:dyDescent="0.25">
      <c r="A334" s="7"/>
      <c r="B334" s="8">
        <f>IF(C334="","",IF(ISNUMBER(MATCH(C334,Insumos!$A:$A,0)),"insumo",IF(ISNUMBER(MATCH(C334,Preparos!$A:$A,0)),"preparo",IF(ISNUMBER(MATCH(C334,Fichas!$A:$A,0)),"ficha",""))))</f>
      </c>
      <c r="C334" s="7"/>
      <c r="D334" s="7"/>
      <c r="E334" s="8">
        <f>IF(C334="","",IFERROR(VLOOKUP(C334,Insumos!$A:$I,9,FALSE),IFERROR(VLOOKUP(C334,Preparos!$A:$D,4,FALSE),IFERROR(IF(ISNUMBER(MATCH(C334,Fichas!$A:$A,0)),"un",""),""))))</f>
      </c>
      <c r="F334" s="8">
        <f>IF(C334="","",IFERROR(VLOOKUP(C334,Insumos!$A:$G,7,FALSE),100))</f>
      </c>
      <c r="G334" s="9">
        <f>IF(C334="","",IFERROR(VLOOKUP(C334,Insumos!$A:$J,10,FALSE),IFERROR(VLOOKUP(C334,Preparos!$A:$F,6,FALSE),IFERROR(VLOOKUP(C334,Fichas!$A:$D,4,FALSE),0))))</f>
      </c>
      <c r="H334" s="10">
        <f>IF(OR(D334="",G334="",F334=0),"",D334*G334*(100/F334))</f>
      </c>
      <c r="I334" s="5"/>
    </row>
    <row r="335" spans="1:9" x14ac:dyDescent="0.25">
      <c r="A335" s="7"/>
      <c r="B335" s="8">
        <f>IF(C335="","",IF(ISNUMBER(MATCH(C335,Insumos!$A:$A,0)),"insumo",IF(ISNUMBER(MATCH(C335,Preparos!$A:$A,0)),"preparo",IF(ISNUMBER(MATCH(C335,Fichas!$A:$A,0)),"ficha",""))))</f>
      </c>
      <c r="C335" s="7"/>
      <c r="D335" s="7"/>
      <c r="E335" s="8">
        <f>IF(C335="","",IFERROR(VLOOKUP(C335,Insumos!$A:$I,9,FALSE),IFERROR(VLOOKUP(C335,Preparos!$A:$D,4,FALSE),IFERROR(IF(ISNUMBER(MATCH(C335,Fichas!$A:$A,0)),"un",""),""))))</f>
      </c>
      <c r="F335" s="8">
        <f>IF(C335="","",IFERROR(VLOOKUP(C335,Insumos!$A:$G,7,FALSE),100))</f>
      </c>
      <c r="G335" s="9">
        <f>IF(C335="","",IFERROR(VLOOKUP(C335,Insumos!$A:$J,10,FALSE),IFERROR(VLOOKUP(C335,Preparos!$A:$F,6,FALSE),IFERROR(VLOOKUP(C335,Fichas!$A:$D,4,FALSE),0))))</f>
      </c>
      <c r="H335" s="10">
        <f>IF(OR(D335="",G335="",F335=0),"",D335*G335*(100/F335))</f>
      </c>
      <c r="I335" s="5"/>
    </row>
    <row r="336" spans="1:9" x14ac:dyDescent="0.25">
      <c r="A336" s="7"/>
      <c r="B336" s="8">
        <f>IF(C336="","",IF(ISNUMBER(MATCH(C336,Insumos!$A:$A,0)),"insumo",IF(ISNUMBER(MATCH(C336,Preparos!$A:$A,0)),"preparo",IF(ISNUMBER(MATCH(C336,Fichas!$A:$A,0)),"ficha",""))))</f>
      </c>
      <c r="C336" s="7"/>
      <c r="D336" s="7"/>
      <c r="E336" s="8">
        <f>IF(C336="","",IFERROR(VLOOKUP(C336,Insumos!$A:$I,9,FALSE),IFERROR(VLOOKUP(C336,Preparos!$A:$D,4,FALSE),IFERROR(IF(ISNUMBER(MATCH(C336,Fichas!$A:$A,0)),"un",""),""))))</f>
      </c>
      <c r="F336" s="8">
        <f>IF(C336="","",IFERROR(VLOOKUP(C336,Insumos!$A:$G,7,FALSE),100))</f>
      </c>
      <c r="G336" s="9">
        <f>IF(C336="","",IFERROR(VLOOKUP(C336,Insumos!$A:$J,10,FALSE),IFERROR(VLOOKUP(C336,Preparos!$A:$F,6,FALSE),IFERROR(VLOOKUP(C336,Fichas!$A:$D,4,FALSE),0))))</f>
      </c>
      <c r="H336" s="10">
        <f>IF(OR(D336="",G336="",F336=0),"",D336*G336*(100/F336))</f>
      </c>
      <c r="I336" s="5"/>
    </row>
    <row r="337" spans="1:9" x14ac:dyDescent="0.25">
      <c r="A337" s="7"/>
      <c r="B337" s="8">
        <f>IF(C337="","",IF(ISNUMBER(MATCH(C337,Insumos!$A:$A,0)),"insumo",IF(ISNUMBER(MATCH(C337,Preparos!$A:$A,0)),"preparo",IF(ISNUMBER(MATCH(C337,Fichas!$A:$A,0)),"ficha",""))))</f>
      </c>
      <c r="C337" s="7"/>
      <c r="D337" s="7"/>
      <c r="E337" s="8">
        <f>IF(C337="","",IFERROR(VLOOKUP(C337,Insumos!$A:$I,9,FALSE),IFERROR(VLOOKUP(C337,Preparos!$A:$D,4,FALSE),IFERROR(IF(ISNUMBER(MATCH(C337,Fichas!$A:$A,0)),"un",""),""))))</f>
      </c>
      <c r="F337" s="8">
        <f>IF(C337="","",IFERROR(VLOOKUP(C337,Insumos!$A:$G,7,FALSE),100))</f>
      </c>
      <c r="G337" s="9">
        <f>IF(C337="","",IFERROR(VLOOKUP(C337,Insumos!$A:$J,10,FALSE),IFERROR(VLOOKUP(C337,Preparos!$A:$F,6,FALSE),IFERROR(VLOOKUP(C337,Fichas!$A:$D,4,FALSE),0))))</f>
      </c>
      <c r="H337" s="10">
        <f>IF(OR(D337="",G337="",F337=0),"",D337*G337*(100/F337))</f>
      </c>
      <c r="I337" s="5"/>
    </row>
    <row r="338" spans="1:9" x14ac:dyDescent="0.25">
      <c r="A338" s="7"/>
      <c r="B338" s="8">
        <f>IF(C338="","",IF(ISNUMBER(MATCH(C338,Insumos!$A:$A,0)),"insumo",IF(ISNUMBER(MATCH(C338,Preparos!$A:$A,0)),"preparo",IF(ISNUMBER(MATCH(C338,Fichas!$A:$A,0)),"ficha",""))))</f>
      </c>
      <c r="C338" s="7"/>
      <c r="D338" s="7"/>
      <c r="E338" s="8">
        <f>IF(C338="","",IFERROR(VLOOKUP(C338,Insumos!$A:$I,9,FALSE),IFERROR(VLOOKUP(C338,Preparos!$A:$D,4,FALSE),IFERROR(IF(ISNUMBER(MATCH(C338,Fichas!$A:$A,0)),"un",""),""))))</f>
      </c>
      <c r="F338" s="8">
        <f>IF(C338="","",IFERROR(VLOOKUP(C338,Insumos!$A:$G,7,FALSE),100))</f>
      </c>
      <c r="G338" s="9">
        <f>IF(C338="","",IFERROR(VLOOKUP(C338,Insumos!$A:$J,10,FALSE),IFERROR(VLOOKUP(C338,Preparos!$A:$F,6,FALSE),IFERROR(VLOOKUP(C338,Fichas!$A:$D,4,FALSE),0))))</f>
      </c>
      <c r="H338" s="10">
        <f>IF(OR(D338="",G338="",F338=0),"",D338*G338*(100/F338))</f>
      </c>
      <c r="I338" s="5"/>
    </row>
    <row r="339" spans="1:9" x14ac:dyDescent="0.25">
      <c r="A339" s="7"/>
      <c r="B339" s="8">
        <f>IF(C339="","",IF(ISNUMBER(MATCH(C339,Insumos!$A:$A,0)),"insumo",IF(ISNUMBER(MATCH(C339,Preparos!$A:$A,0)),"preparo",IF(ISNUMBER(MATCH(C339,Fichas!$A:$A,0)),"ficha",""))))</f>
      </c>
      <c r="C339" s="7"/>
      <c r="D339" s="7"/>
      <c r="E339" s="8">
        <f>IF(C339="","",IFERROR(VLOOKUP(C339,Insumos!$A:$I,9,FALSE),IFERROR(VLOOKUP(C339,Preparos!$A:$D,4,FALSE),IFERROR(IF(ISNUMBER(MATCH(C339,Fichas!$A:$A,0)),"un",""),""))))</f>
      </c>
      <c r="F339" s="8">
        <f>IF(C339="","",IFERROR(VLOOKUP(C339,Insumos!$A:$G,7,FALSE),100))</f>
      </c>
      <c r="G339" s="9">
        <f>IF(C339="","",IFERROR(VLOOKUP(C339,Insumos!$A:$J,10,FALSE),IFERROR(VLOOKUP(C339,Preparos!$A:$F,6,FALSE),IFERROR(VLOOKUP(C339,Fichas!$A:$D,4,FALSE),0))))</f>
      </c>
      <c r="H339" s="10">
        <f>IF(OR(D339="",G339="",F339=0),"",D339*G339*(100/F339))</f>
      </c>
      <c r="I339" s="5"/>
    </row>
    <row r="340" spans="1:9" x14ac:dyDescent="0.25">
      <c r="A340" s="7"/>
      <c r="B340" s="8">
        <f>IF(C340="","",IF(ISNUMBER(MATCH(C340,Insumos!$A:$A,0)),"insumo",IF(ISNUMBER(MATCH(C340,Preparos!$A:$A,0)),"preparo",IF(ISNUMBER(MATCH(C340,Fichas!$A:$A,0)),"ficha",""))))</f>
      </c>
      <c r="C340" s="7"/>
      <c r="D340" s="7"/>
      <c r="E340" s="8">
        <f>IF(C340="","",IFERROR(VLOOKUP(C340,Insumos!$A:$I,9,FALSE),IFERROR(VLOOKUP(C340,Preparos!$A:$D,4,FALSE),IFERROR(IF(ISNUMBER(MATCH(C340,Fichas!$A:$A,0)),"un",""),""))))</f>
      </c>
      <c r="F340" s="8">
        <f>IF(C340="","",IFERROR(VLOOKUP(C340,Insumos!$A:$G,7,FALSE),100))</f>
      </c>
      <c r="G340" s="9">
        <f>IF(C340="","",IFERROR(VLOOKUP(C340,Insumos!$A:$J,10,FALSE),IFERROR(VLOOKUP(C340,Preparos!$A:$F,6,FALSE),IFERROR(VLOOKUP(C340,Fichas!$A:$D,4,FALSE),0))))</f>
      </c>
      <c r="H340" s="10">
        <f>IF(OR(D340="",G340="",F340=0),"",D340*G340*(100/F340))</f>
      </c>
      <c r="I340" s="5"/>
    </row>
    <row r="341" spans="1:9" x14ac:dyDescent="0.25">
      <c r="A341" s="7"/>
      <c r="B341" s="8">
        <f>IF(C341="","",IF(ISNUMBER(MATCH(C341,Insumos!$A:$A,0)),"insumo",IF(ISNUMBER(MATCH(C341,Preparos!$A:$A,0)),"preparo",IF(ISNUMBER(MATCH(C341,Fichas!$A:$A,0)),"ficha",""))))</f>
      </c>
      <c r="C341" s="7"/>
      <c r="D341" s="7"/>
      <c r="E341" s="8">
        <f>IF(C341="","",IFERROR(VLOOKUP(C341,Insumos!$A:$I,9,FALSE),IFERROR(VLOOKUP(C341,Preparos!$A:$D,4,FALSE),IFERROR(IF(ISNUMBER(MATCH(C341,Fichas!$A:$A,0)),"un",""),""))))</f>
      </c>
      <c r="F341" s="8">
        <f>IF(C341="","",IFERROR(VLOOKUP(C341,Insumos!$A:$G,7,FALSE),100))</f>
      </c>
      <c r="G341" s="9">
        <f>IF(C341="","",IFERROR(VLOOKUP(C341,Insumos!$A:$J,10,FALSE),IFERROR(VLOOKUP(C341,Preparos!$A:$F,6,FALSE),IFERROR(VLOOKUP(C341,Fichas!$A:$D,4,FALSE),0))))</f>
      </c>
      <c r="H341" s="10">
        <f>IF(OR(D341="",G341="",F341=0),"",D341*G341*(100/F341))</f>
      </c>
      <c r="I341" s="5"/>
    </row>
    <row r="342" spans="1:9" x14ac:dyDescent="0.25">
      <c r="A342" s="7"/>
      <c r="B342" s="8">
        <f>IF(C342="","",IF(ISNUMBER(MATCH(C342,Insumos!$A:$A,0)),"insumo",IF(ISNUMBER(MATCH(C342,Preparos!$A:$A,0)),"preparo",IF(ISNUMBER(MATCH(C342,Fichas!$A:$A,0)),"ficha",""))))</f>
      </c>
      <c r="C342" s="7"/>
      <c r="D342" s="7"/>
      <c r="E342" s="8">
        <f>IF(C342="","",IFERROR(VLOOKUP(C342,Insumos!$A:$I,9,FALSE),IFERROR(VLOOKUP(C342,Preparos!$A:$D,4,FALSE),IFERROR(IF(ISNUMBER(MATCH(C342,Fichas!$A:$A,0)),"un",""),""))))</f>
      </c>
      <c r="F342" s="8">
        <f>IF(C342="","",IFERROR(VLOOKUP(C342,Insumos!$A:$G,7,FALSE),100))</f>
      </c>
      <c r="G342" s="9">
        <f>IF(C342="","",IFERROR(VLOOKUP(C342,Insumos!$A:$J,10,FALSE),IFERROR(VLOOKUP(C342,Preparos!$A:$F,6,FALSE),IFERROR(VLOOKUP(C342,Fichas!$A:$D,4,FALSE),0))))</f>
      </c>
      <c r="H342" s="10">
        <f>IF(OR(D342="",G342="",F342=0),"",D342*G342*(100/F342))</f>
      </c>
      <c r="I342" s="5"/>
    </row>
    <row r="343" spans="1:9" x14ac:dyDescent="0.25">
      <c r="A343" s="7"/>
      <c r="B343" s="8">
        <f>IF(C343="","",IF(ISNUMBER(MATCH(C343,Insumos!$A:$A,0)),"insumo",IF(ISNUMBER(MATCH(C343,Preparos!$A:$A,0)),"preparo",IF(ISNUMBER(MATCH(C343,Fichas!$A:$A,0)),"ficha",""))))</f>
      </c>
      <c r="C343" s="7"/>
      <c r="D343" s="7"/>
      <c r="E343" s="8">
        <f>IF(C343="","",IFERROR(VLOOKUP(C343,Insumos!$A:$I,9,FALSE),IFERROR(VLOOKUP(C343,Preparos!$A:$D,4,FALSE),IFERROR(IF(ISNUMBER(MATCH(C343,Fichas!$A:$A,0)),"un",""),""))))</f>
      </c>
      <c r="F343" s="8">
        <f>IF(C343="","",IFERROR(VLOOKUP(C343,Insumos!$A:$G,7,FALSE),100))</f>
      </c>
      <c r="G343" s="9">
        <f>IF(C343="","",IFERROR(VLOOKUP(C343,Insumos!$A:$J,10,FALSE),IFERROR(VLOOKUP(C343,Preparos!$A:$F,6,FALSE),IFERROR(VLOOKUP(C343,Fichas!$A:$D,4,FALSE),0))))</f>
      </c>
      <c r="H343" s="10">
        <f>IF(OR(D343="",G343="",F343=0),"",D343*G343*(100/F343))</f>
      </c>
      <c r="I343" s="5"/>
    </row>
    <row r="344" spans="1:9" x14ac:dyDescent="0.25">
      <c r="A344" s="7"/>
      <c r="B344" s="8">
        <f>IF(C344="","",IF(ISNUMBER(MATCH(C344,Insumos!$A:$A,0)),"insumo",IF(ISNUMBER(MATCH(C344,Preparos!$A:$A,0)),"preparo",IF(ISNUMBER(MATCH(C344,Fichas!$A:$A,0)),"ficha",""))))</f>
      </c>
      <c r="C344" s="7"/>
      <c r="D344" s="7"/>
      <c r="E344" s="8">
        <f>IF(C344="","",IFERROR(VLOOKUP(C344,Insumos!$A:$I,9,FALSE),IFERROR(VLOOKUP(C344,Preparos!$A:$D,4,FALSE),IFERROR(IF(ISNUMBER(MATCH(C344,Fichas!$A:$A,0)),"un",""),""))))</f>
      </c>
      <c r="F344" s="8">
        <f>IF(C344="","",IFERROR(VLOOKUP(C344,Insumos!$A:$G,7,FALSE),100))</f>
      </c>
      <c r="G344" s="9">
        <f>IF(C344="","",IFERROR(VLOOKUP(C344,Insumos!$A:$J,10,FALSE),IFERROR(VLOOKUP(C344,Preparos!$A:$F,6,FALSE),IFERROR(VLOOKUP(C344,Fichas!$A:$D,4,FALSE),0))))</f>
      </c>
      <c r="H344" s="10">
        <f>IF(OR(D344="",G344="",F344=0),"",D344*G344*(100/F344))</f>
      </c>
      <c r="I344" s="5"/>
    </row>
    <row r="345" spans="1:9" x14ac:dyDescent="0.25">
      <c r="A345" s="7"/>
      <c r="B345" s="8">
        <f>IF(C345="","",IF(ISNUMBER(MATCH(C345,Insumos!$A:$A,0)),"insumo",IF(ISNUMBER(MATCH(C345,Preparos!$A:$A,0)),"preparo",IF(ISNUMBER(MATCH(C345,Fichas!$A:$A,0)),"ficha",""))))</f>
      </c>
      <c r="C345" s="7"/>
      <c r="D345" s="7"/>
      <c r="E345" s="8">
        <f>IF(C345="","",IFERROR(VLOOKUP(C345,Insumos!$A:$I,9,FALSE),IFERROR(VLOOKUP(C345,Preparos!$A:$D,4,FALSE),IFERROR(IF(ISNUMBER(MATCH(C345,Fichas!$A:$A,0)),"un",""),""))))</f>
      </c>
      <c r="F345" s="8">
        <f>IF(C345="","",IFERROR(VLOOKUP(C345,Insumos!$A:$G,7,FALSE),100))</f>
      </c>
      <c r="G345" s="9">
        <f>IF(C345="","",IFERROR(VLOOKUP(C345,Insumos!$A:$J,10,FALSE),IFERROR(VLOOKUP(C345,Preparos!$A:$F,6,FALSE),IFERROR(VLOOKUP(C345,Fichas!$A:$D,4,FALSE),0))))</f>
      </c>
      <c r="H345" s="10">
        <f>IF(OR(D345="",G345="",F345=0),"",D345*G345*(100/F345))</f>
      </c>
      <c r="I345" s="5"/>
    </row>
    <row r="346" spans="1:9" x14ac:dyDescent="0.25">
      <c r="A346" s="7"/>
      <c r="B346" s="8">
        <f>IF(C346="","",IF(ISNUMBER(MATCH(C346,Insumos!$A:$A,0)),"insumo",IF(ISNUMBER(MATCH(C346,Preparos!$A:$A,0)),"preparo",IF(ISNUMBER(MATCH(C346,Fichas!$A:$A,0)),"ficha",""))))</f>
      </c>
      <c r="C346" s="7"/>
      <c r="D346" s="7"/>
      <c r="E346" s="8">
        <f>IF(C346="","",IFERROR(VLOOKUP(C346,Insumos!$A:$I,9,FALSE),IFERROR(VLOOKUP(C346,Preparos!$A:$D,4,FALSE),IFERROR(IF(ISNUMBER(MATCH(C346,Fichas!$A:$A,0)),"un",""),""))))</f>
      </c>
      <c r="F346" s="8">
        <f>IF(C346="","",IFERROR(VLOOKUP(C346,Insumos!$A:$G,7,FALSE),100))</f>
      </c>
      <c r="G346" s="9">
        <f>IF(C346="","",IFERROR(VLOOKUP(C346,Insumos!$A:$J,10,FALSE),IFERROR(VLOOKUP(C346,Preparos!$A:$F,6,FALSE),IFERROR(VLOOKUP(C346,Fichas!$A:$D,4,FALSE),0))))</f>
      </c>
      <c r="H346" s="10">
        <f>IF(OR(D346="",G346="",F346=0),"",D346*G346*(100/F346))</f>
      </c>
      <c r="I346" s="5"/>
    </row>
    <row r="347" spans="1:9" x14ac:dyDescent="0.25">
      <c r="A347" s="7"/>
      <c r="B347" s="8">
        <f>IF(C347="","",IF(ISNUMBER(MATCH(C347,Insumos!$A:$A,0)),"insumo",IF(ISNUMBER(MATCH(C347,Preparos!$A:$A,0)),"preparo",IF(ISNUMBER(MATCH(C347,Fichas!$A:$A,0)),"ficha",""))))</f>
      </c>
      <c r="C347" s="7"/>
      <c r="D347" s="7"/>
      <c r="E347" s="8">
        <f>IF(C347="","",IFERROR(VLOOKUP(C347,Insumos!$A:$I,9,FALSE),IFERROR(VLOOKUP(C347,Preparos!$A:$D,4,FALSE),IFERROR(IF(ISNUMBER(MATCH(C347,Fichas!$A:$A,0)),"un",""),""))))</f>
      </c>
      <c r="F347" s="8">
        <f>IF(C347="","",IFERROR(VLOOKUP(C347,Insumos!$A:$G,7,FALSE),100))</f>
      </c>
      <c r="G347" s="9">
        <f>IF(C347="","",IFERROR(VLOOKUP(C347,Insumos!$A:$J,10,FALSE),IFERROR(VLOOKUP(C347,Preparos!$A:$F,6,FALSE),IFERROR(VLOOKUP(C347,Fichas!$A:$D,4,FALSE),0))))</f>
      </c>
      <c r="H347" s="10">
        <f>IF(OR(D347="",G347="",F347=0),"",D347*G347*(100/F347))</f>
      </c>
      <c r="I347" s="5"/>
    </row>
    <row r="348" spans="1:9" x14ac:dyDescent="0.25">
      <c r="A348" s="7"/>
      <c r="B348" s="8">
        <f>IF(C348="","",IF(ISNUMBER(MATCH(C348,Insumos!$A:$A,0)),"insumo",IF(ISNUMBER(MATCH(C348,Preparos!$A:$A,0)),"preparo",IF(ISNUMBER(MATCH(C348,Fichas!$A:$A,0)),"ficha",""))))</f>
      </c>
      <c r="C348" s="7"/>
      <c r="D348" s="7"/>
      <c r="E348" s="8">
        <f>IF(C348="","",IFERROR(VLOOKUP(C348,Insumos!$A:$I,9,FALSE),IFERROR(VLOOKUP(C348,Preparos!$A:$D,4,FALSE),IFERROR(IF(ISNUMBER(MATCH(C348,Fichas!$A:$A,0)),"un",""),""))))</f>
      </c>
      <c r="F348" s="8">
        <f>IF(C348="","",IFERROR(VLOOKUP(C348,Insumos!$A:$G,7,FALSE),100))</f>
      </c>
      <c r="G348" s="9">
        <f>IF(C348="","",IFERROR(VLOOKUP(C348,Insumos!$A:$J,10,FALSE),IFERROR(VLOOKUP(C348,Preparos!$A:$F,6,FALSE),IFERROR(VLOOKUP(C348,Fichas!$A:$D,4,FALSE),0))))</f>
      </c>
      <c r="H348" s="10">
        <f>IF(OR(D348="",G348="",F348=0),"",D348*G348*(100/F348))</f>
      </c>
      <c r="I348" s="5"/>
    </row>
    <row r="349" spans="1:9" x14ac:dyDescent="0.25">
      <c r="A349" s="7"/>
      <c r="B349" s="8">
        <f>IF(C349="","",IF(ISNUMBER(MATCH(C349,Insumos!$A:$A,0)),"insumo",IF(ISNUMBER(MATCH(C349,Preparos!$A:$A,0)),"preparo",IF(ISNUMBER(MATCH(C349,Fichas!$A:$A,0)),"ficha",""))))</f>
      </c>
      <c r="C349" s="7"/>
      <c r="D349" s="7"/>
      <c r="E349" s="8">
        <f>IF(C349="","",IFERROR(VLOOKUP(C349,Insumos!$A:$I,9,FALSE),IFERROR(VLOOKUP(C349,Preparos!$A:$D,4,FALSE),IFERROR(IF(ISNUMBER(MATCH(C349,Fichas!$A:$A,0)),"un",""),""))))</f>
      </c>
      <c r="F349" s="8">
        <f>IF(C349="","",IFERROR(VLOOKUP(C349,Insumos!$A:$G,7,FALSE),100))</f>
      </c>
      <c r="G349" s="9">
        <f>IF(C349="","",IFERROR(VLOOKUP(C349,Insumos!$A:$J,10,FALSE),IFERROR(VLOOKUP(C349,Preparos!$A:$F,6,FALSE),IFERROR(VLOOKUP(C349,Fichas!$A:$D,4,FALSE),0))))</f>
      </c>
      <c r="H349" s="10">
        <f>IF(OR(D349="",G349="",F349=0),"",D349*G349*(100/F349))</f>
      </c>
      <c r="I349" s="5"/>
    </row>
    <row r="350" spans="1:9" x14ac:dyDescent="0.25">
      <c r="A350" s="7"/>
      <c r="B350" s="8">
        <f>IF(C350="","",IF(ISNUMBER(MATCH(C350,Insumos!$A:$A,0)),"insumo",IF(ISNUMBER(MATCH(C350,Preparos!$A:$A,0)),"preparo",IF(ISNUMBER(MATCH(C350,Fichas!$A:$A,0)),"ficha",""))))</f>
      </c>
      <c r="C350" s="7"/>
      <c r="D350" s="7"/>
      <c r="E350" s="8">
        <f>IF(C350="","",IFERROR(VLOOKUP(C350,Insumos!$A:$I,9,FALSE),IFERROR(VLOOKUP(C350,Preparos!$A:$D,4,FALSE),IFERROR(IF(ISNUMBER(MATCH(C350,Fichas!$A:$A,0)),"un",""),""))))</f>
      </c>
      <c r="F350" s="8">
        <f>IF(C350="","",IFERROR(VLOOKUP(C350,Insumos!$A:$G,7,FALSE),100))</f>
      </c>
      <c r="G350" s="9">
        <f>IF(C350="","",IFERROR(VLOOKUP(C350,Insumos!$A:$J,10,FALSE),IFERROR(VLOOKUP(C350,Preparos!$A:$F,6,FALSE),IFERROR(VLOOKUP(C350,Fichas!$A:$D,4,FALSE),0))))</f>
      </c>
      <c r="H350" s="10">
        <f>IF(OR(D350="",G350="",F350=0),"",D350*G350*(100/F350))</f>
      </c>
      <c r="I350" s="5"/>
    </row>
    <row r="351" spans="1:9" x14ac:dyDescent="0.25">
      <c r="A351" s="7"/>
      <c r="B351" s="8">
        <f>IF(C351="","",IF(ISNUMBER(MATCH(C351,Insumos!$A:$A,0)),"insumo",IF(ISNUMBER(MATCH(C351,Preparos!$A:$A,0)),"preparo",IF(ISNUMBER(MATCH(C351,Fichas!$A:$A,0)),"ficha",""))))</f>
      </c>
      <c r="C351" s="7"/>
      <c r="D351" s="7"/>
      <c r="E351" s="8">
        <f>IF(C351="","",IFERROR(VLOOKUP(C351,Insumos!$A:$I,9,FALSE),IFERROR(VLOOKUP(C351,Preparos!$A:$D,4,FALSE),IFERROR(IF(ISNUMBER(MATCH(C351,Fichas!$A:$A,0)),"un",""),""))))</f>
      </c>
      <c r="F351" s="8">
        <f>IF(C351="","",IFERROR(VLOOKUP(C351,Insumos!$A:$G,7,FALSE),100))</f>
      </c>
      <c r="G351" s="9">
        <f>IF(C351="","",IFERROR(VLOOKUP(C351,Insumos!$A:$J,10,FALSE),IFERROR(VLOOKUP(C351,Preparos!$A:$F,6,FALSE),IFERROR(VLOOKUP(C351,Fichas!$A:$D,4,FALSE),0))))</f>
      </c>
      <c r="H351" s="10">
        <f>IF(OR(D351="",G351="",F351=0),"",D351*G351*(100/F351))</f>
      </c>
      <c r="I351" s="5"/>
    </row>
    <row r="352" spans="1:9" x14ac:dyDescent="0.25">
      <c r="A352" s="7"/>
      <c r="B352" s="8">
        <f>IF(C352="","",IF(ISNUMBER(MATCH(C352,Insumos!$A:$A,0)),"insumo",IF(ISNUMBER(MATCH(C352,Preparos!$A:$A,0)),"preparo",IF(ISNUMBER(MATCH(C352,Fichas!$A:$A,0)),"ficha",""))))</f>
      </c>
      <c r="C352" s="7"/>
      <c r="D352" s="7"/>
      <c r="E352" s="8">
        <f>IF(C352="","",IFERROR(VLOOKUP(C352,Insumos!$A:$I,9,FALSE),IFERROR(VLOOKUP(C352,Preparos!$A:$D,4,FALSE),IFERROR(IF(ISNUMBER(MATCH(C352,Fichas!$A:$A,0)),"un",""),""))))</f>
      </c>
      <c r="F352" s="8">
        <f>IF(C352="","",IFERROR(VLOOKUP(C352,Insumos!$A:$G,7,FALSE),100))</f>
      </c>
      <c r="G352" s="9">
        <f>IF(C352="","",IFERROR(VLOOKUP(C352,Insumos!$A:$J,10,FALSE),IFERROR(VLOOKUP(C352,Preparos!$A:$F,6,FALSE),IFERROR(VLOOKUP(C352,Fichas!$A:$D,4,FALSE),0))))</f>
      </c>
      <c r="H352" s="10">
        <f>IF(OR(D352="",G352="",F352=0),"",D352*G352*(100/F352))</f>
      </c>
      <c r="I352" s="5"/>
    </row>
    <row r="353" spans="1:9" x14ac:dyDescent="0.25">
      <c r="A353" s="7"/>
      <c r="B353" s="8">
        <f>IF(C353="","",IF(ISNUMBER(MATCH(C353,Insumos!$A:$A,0)),"insumo",IF(ISNUMBER(MATCH(C353,Preparos!$A:$A,0)),"preparo",IF(ISNUMBER(MATCH(C353,Fichas!$A:$A,0)),"ficha",""))))</f>
      </c>
      <c r="C353" s="7"/>
      <c r="D353" s="7"/>
      <c r="E353" s="8">
        <f>IF(C353="","",IFERROR(VLOOKUP(C353,Insumos!$A:$I,9,FALSE),IFERROR(VLOOKUP(C353,Preparos!$A:$D,4,FALSE),IFERROR(IF(ISNUMBER(MATCH(C353,Fichas!$A:$A,0)),"un",""),""))))</f>
      </c>
      <c r="F353" s="8">
        <f>IF(C353="","",IFERROR(VLOOKUP(C353,Insumos!$A:$G,7,FALSE),100))</f>
      </c>
      <c r="G353" s="9">
        <f>IF(C353="","",IFERROR(VLOOKUP(C353,Insumos!$A:$J,10,FALSE),IFERROR(VLOOKUP(C353,Preparos!$A:$F,6,FALSE),IFERROR(VLOOKUP(C353,Fichas!$A:$D,4,FALSE),0))))</f>
      </c>
      <c r="H353" s="10">
        <f>IF(OR(D353="",G353="",F353=0),"",D353*G353*(100/F353))</f>
      </c>
      <c r="I353" s="5"/>
    </row>
    <row r="354" spans="1:9" x14ac:dyDescent="0.25">
      <c r="A354" s="7"/>
      <c r="B354" s="8">
        <f>IF(C354="","",IF(ISNUMBER(MATCH(C354,Insumos!$A:$A,0)),"insumo",IF(ISNUMBER(MATCH(C354,Preparos!$A:$A,0)),"preparo",IF(ISNUMBER(MATCH(C354,Fichas!$A:$A,0)),"ficha",""))))</f>
      </c>
      <c r="C354" s="7"/>
      <c r="D354" s="7"/>
      <c r="E354" s="8">
        <f>IF(C354="","",IFERROR(VLOOKUP(C354,Insumos!$A:$I,9,FALSE),IFERROR(VLOOKUP(C354,Preparos!$A:$D,4,FALSE),IFERROR(IF(ISNUMBER(MATCH(C354,Fichas!$A:$A,0)),"un",""),""))))</f>
      </c>
      <c r="F354" s="8">
        <f>IF(C354="","",IFERROR(VLOOKUP(C354,Insumos!$A:$G,7,FALSE),100))</f>
      </c>
      <c r="G354" s="9">
        <f>IF(C354="","",IFERROR(VLOOKUP(C354,Insumos!$A:$J,10,FALSE),IFERROR(VLOOKUP(C354,Preparos!$A:$F,6,FALSE),IFERROR(VLOOKUP(C354,Fichas!$A:$D,4,FALSE),0))))</f>
      </c>
      <c r="H354" s="10">
        <f>IF(OR(D354="",G354="",F354=0),"",D354*G354*(100/F354))</f>
      </c>
      <c r="I354" s="5"/>
    </row>
    <row r="355" spans="1:9" x14ac:dyDescent="0.25">
      <c r="A355" s="7"/>
      <c r="B355" s="8">
        <f>IF(C355="","",IF(ISNUMBER(MATCH(C355,Insumos!$A:$A,0)),"insumo",IF(ISNUMBER(MATCH(C355,Preparos!$A:$A,0)),"preparo",IF(ISNUMBER(MATCH(C355,Fichas!$A:$A,0)),"ficha",""))))</f>
      </c>
      <c r="C355" s="7"/>
      <c r="D355" s="7"/>
      <c r="E355" s="8">
        <f>IF(C355="","",IFERROR(VLOOKUP(C355,Insumos!$A:$I,9,FALSE),IFERROR(VLOOKUP(C355,Preparos!$A:$D,4,FALSE),IFERROR(IF(ISNUMBER(MATCH(C355,Fichas!$A:$A,0)),"un",""),""))))</f>
      </c>
      <c r="F355" s="8">
        <f>IF(C355="","",IFERROR(VLOOKUP(C355,Insumos!$A:$G,7,FALSE),100))</f>
      </c>
      <c r="G355" s="9">
        <f>IF(C355="","",IFERROR(VLOOKUP(C355,Insumos!$A:$J,10,FALSE),IFERROR(VLOOKUP(C355,Preparos!$A:$F,6,FALSE),IFERROR(VLOOKUP(C355,Fichas!$A:$D,4,FALSE),0))))</f>
      </c>
      <c r="H355" s="10">
        <f>IF(OR(D355="",G355="",F355=0),"",D355*G355*(100/F355))</f>
      </c>
      <c r="I355" s="5"/>
    </row>
    <row r="356" spans="1:9" x14ac:dyDescent="0.25">
      <c r="A356" s="7"/>
      <c r="B356" s="8">
        <f>IF(C356="","",IF(ISNUMBER(MATCH(C356,Insumos!$A:$A,0)),"insumo",IF(ISNUMBER(MATCH(C356,Preparos!$A:$A,0)),"preparo",IF(ISNUMBER(MATCH(C356,Fichas!$A:$A,0)),"ficha",""))))</f>
      </c>
      <c r="C356" s="7"/>
      <c r="D356" s="7"/>
      <c r="E356" s="8">
        <f>IF(C356="","",IFERROR(VLOOKUP(C356,Insumos!$A:$I,9,FALSE),IFERROR(VLOOKUP(C356,Preparos!$A:$D,4,FALSE),IFERROR(IF(ISNUMBER(MATCH(C356,Fichas!$A:$A,0)),"un",""),""))))</f>
      </c>
      <c r="F356" s="8">
        <f>IF(C356="","",IFERROR(VLOOKUP(C356,Insumos!$A:$G,7,FALSE),100))</f>
      </c>
      <c r="G356" s="9">
        <f>IF(C356="","",IFERROR(VLOOKUP(C356,Insumos!$A:$J,10,FALSE),IFERROR(VLOOKUP(C356,Preparos!$A:$F,6,FALSE),IFERROR(VLOOKUP(C356,Fichas!$A:$D,4,FALSE),0))))</f>
      </c>
      <c r="H356" s="10">
        <f>IF(OR(D356="",G356="",F356=0),"",D356*G356*(100/F356))</f>
      </c>
      <c r="I356" s="5"/>
    </row>
    <row r="357" spans="1:9" x14ac:dyDescent="0.25">
      <c r="A357" s="7"/>
      <c r="B357" s="8">
        <f>IF(C357="","",IF(ISNUMBER(MATCH(C357,Insumos!$A:$A,0)),"insumo",IF(ISNUMBER(MATCH(C357,Preparos!$A:$A,0)),"preparo",IF(ISNUMBER(MATCH(C357,Fichas!$A:$A,0)),"ficha",""))))</f>
      </c>
      <c r="C357" s="7"/>
      <c r="D357" s="7"/>
      <c r="E357" s="8">
        <f>IF(C357="","",IFERROR(VLOOKUP(C357,Insumos!$A:$I,9,FALSE),IFERROR(VLOOKUP(C357,Preparos!$A:$D,4,FALSE),IFERROR(IF(ISNUMBER(MATCH(C357,Fichas!$A:$A,0)),"un",""),""))))</f>
      </c>
      <c r="F357" s="8">
        <f>IF(C357="","",IFERROR(VLOOKUP(C357,Insumos!$A:$G,7,FALSE),100))</f>
      </c>
      <c r="G357" s="9">
        <f>IF(C357="","",IFERROR(VLOOKUP(C357,Insumos!$A:$J,10,FALSE),IFERROR(VLOOKUP(C357,Preparos!$A:$F,6,FALSE),IFERROR(VLOOKUP(C357,Fichas!$A:$D,4,FALSE),0))))</f>
      </c>
      <c r="H357" s="10">
        <f>IF(OR(D357="",G357="",F357=0),"",D357*G357*(100/F357))</f>
      </c>
      <c r="I357" s="5"/>
    </row>
    <row r="358" spans="1:9" x14ac:dyDescent="0.25">
      <c r="A358" s="7"/>
      <c r="B358" s="8">
        <f>IF(C358="","",IF(ISNUMBER(MATCH(C358,Insumos!$A:$A,0)),"insumo",IF(ISNUMBER(MATCH(C358,Preparos!$A:$A,0)),"preparo",IF(ISNUMBER(MATCH(C358,Fichas!$A:$A,0)),"ficha",""))))</f>
      </c>
      <c r="C358" s="7"/>
      <c r="D358" s="7"/>
      <c r="E358" s="8">
        <f>IF(C358="","",IFERROR(VLOOKUP(C358,Insumos!$A:$I,9,FALSE),IFERROR(VLOOKUP(C358,Preparos!$A:$D,4,FALSE),IFERROR(IF(ISNUMBER(MATCH(C358,Fichas!$A:$A,0)),"un",""),""))))</f>
      </c>
      <c r="F358" s="8">
        <f>IF(C358="","",IFERROR(VLOOKUP(C358,Insumos!$A:$G,7,FALSE),100))</f>
      </c>
      <c r="G358" s="9">
        <f>IF(C358="","",IFERROR(VLOOKUP(C358,Insumos!$A:$J,10,FALSE),IFERROR(VLOOKUP(C358,Preparos!$A:$F,6,FALSE),IFERROR(VLOOKUP(C358,Fichas!$A:$D,4,FALSE),0))))</f>
      </c>
      <c r="H358" s="10">
        <f>IF(OR(D358="",G358="",F358=0),"",D358*G358*(100/F358))</f>
      </c>
      <c r="I358" s="5"/>
    </row>
    <row r="359" spans="1:9" x14ac:dyDescent="0.25">
      <c r="A359" s="7"/>
      <c r="B359" s="8">
        <f>IF(C359="","",IF(ISNUMBER(MATCH(C359,Insumos!$A:$A,0)),"insumo",IF(ISNUMBER(MATCH(C359,Preparos!$A:$A,0)),"preparo",IF(ISNUMBER(MATCH(C359,Fichas!$A:$A,0)),"ficha",""))))</f>
      </c>
      <c r="C359" s="7"/>
      <c r="D359" s="7"/>
      <c r="E359" s="8">
        <f>IF(C359="","",IFERROR(VLOOKUP(C359,Insumos!$A:$I,9,FALSE),IFERROR(VLOOKUP(C359,Preparos!$A:$D,4,FALSE),IFERROR(IF(ISNUMBER(MATCH(C359,Fichas!$A:$A,0)),"un",""),""))))</f>
      </c>
      <c r="F359" s="8">
        <f>IF(C359="","",IFERROR(VLOOKUP(C359,Insumos!$A:$G,7,FALSE),100))</f>
      </c>
      <c r="G359" s="9">
        <f>IF(C359="","",IFERROR(VLOOKUP(C359,Insumos!$A:$J,10,FALSE),IFERROR(VLOOKUP(C359,Preparos!$A:$F,6,FALSE),IFERROR(VLOOKUP(C359,Fichas!$A:$D,4,FALSE),0))))</f>
      </c>
      <c r="H359" s="10">
        <f>IF(OR(D359="",G359="",F359=0),"",D359*G359*(100/F359))</f>
      </c>
      <c r="I359" s="5"/>
    </row>
    <row r="360" spans="1:9" x14ac:dyDescent="0.25">
      <c r="A360" s="7"/>
      <c r="B360" s="8">
        <f>IF(C360="","",IF(ISNUMBER(MATCH(C360,Insumos!$A:$A,0)),"insumo",IF(ISNUMBER(MATCH(C360,Preparos!$A:$A,0)),"preparo",IF(ISNUMBER(MATCH(C360,Fichas!$A:$A,0)),"ficha",""))))</f>
      </c>
      <c r="C360" s="7"/>
      <c r="D360" s="7"/>
      <c r="E360" s="8">
        <f>IF(C360="","",IFERROR(VLOOKUP(C360,Insumos!$A:$I,9,FALSE),IFERROR(VLOOKUP(C360,Preparos!$A:$D,4,FALSE),IFERROR(IF(ISNUMBER(MATCH(C360,Fichas!$A:$A,0)),"un",""),""))))</f>
      </c>
      <c r="F360" s="8">
        <f>IF(C360="","",IFERROR(VLOOKUP(C360,Insumos!$A:$G,7,FALSE),100))</f>
      </c>
      <c r="G360" s="9">
        <f>IF(C360="","",IFERROR(VLOOKUP(C360,Insumos!$A:$J,10,FALSE),IFERROR(VLOOKUP(C360,Preparos!$A:$F,6,FALSE),IFERROR(VLOOKUP(C360,Fichas!$A:$D,4,FALSE),0))))</f>
      </c>
      <c r="H360" s="10">
        <f>IF(OR(D360="",G360="",F360=0),"",D360*G360*(100/F360))</f>
      </c>
      <c r="I360" s="5"/>
    </row>
    <row r="361" spans="1:9" x14ac:dyDescent="0.25">
      <c r="A361" s="7"/>
      <c r="B361" s="8">
        <f>IF(C361="","",IF(ISNUMBER(MATCH(C361,Insumos!$A:$A,0)),"insumo",IF(ISNUMBER(MATCH(C361,Preparos!$A:$A,0)),"preparo",IF(ISNUMBER(MATCH(C361,Fichas!$A:$A,0)),"ficha",""))))</f>
      </c>
      <c r="C361" s="7"/>
      <c r="D361" s="7"/>
      <c r="E361" s="8">
        <f>IF(C361="","",IFERROR(VLOOKUP(C361,Insumos!$A:$I,9,FALSE),IFERROR(VLOOKUP(C361,Preparos!$A:$D,4,FALSE),IFERROR(IF(ISNUMBER(MATCH(C361,Fichas!$A:$A,0)),"un",""),""))))</f>
      </c>
      <c r="F361" s="8">
        <f>IF(C361="","",IFERROR(VLOOKUP(C361,Insumos!$A:$G,7,FALSE),100))</f>
      </c>
      <c r="G361" s="9">
        <f>IF(C361="","",IFERROR(VLOOKUP(C361,Insumos!$A:$J,10,FALSE),IFERROR(VLOOKUP(C361,Preparos!$A:$F,6,FALSE),IFERROR(VLOOKUP(C361,Fichas!$A:$D,4,FALSE),0))))</f>
      </c>
      <c r="H361" s="10">
        <f>IF(OR(D361="",G361="",F361=0),"",D361*G361*(100/F361))</f>
      </c>
      <c r="I361" s="5"/>
    </row>
    <row r="362" spans="1:9" x14ac:dyDescent="0.25">
      <c r="A362" s="7"/>
      <c r="B362" s="8">
        <f>IF(C362="","",IF(ISNUMBER(MATCH(C362,Insumos!$A:$A,0)),"insumo",IF(ISNUMBER(MATCH(C362,Preparos!$A:$A,0)),"preparo",IF(ISNUMBER(MATCH(C362,Fichas!$A:$A,0)),"ficha",""))))</f>
      </c>
      <c r="C362" s="7"/>
      <c r="D362" s="7"/>
      <c r="E362" s="8">
        <f>IF(C362="","",IFERROR(VLOOKUP(C362,Insumos!$A:$I,9,FALSE),IFERROR(VLOOKUP(C362,Preparos!$A:$D,4,FALSE),IFERROR(IF(ISNUMBER(MATCH(C362,Fichas!$A:$A,0)),"un",""),""))))</f>
      </c>
      <c r="F362" s="8">
        <f>IF(C362="","",IFERROR(VLOOKUP(C362,Insumos!$A:$G,7,FALSE),100))</f>
      </c>
      <c r="G362" s="9">
        <f>IF(C362="","",IFERROR(VLOOKUP(C362,Insumos!$A:$J,10,FALSE),IFERROR(VLOOKUP(C362,Preparos!$A:$F,6,FALSE),IFERROR(VLOOKUP(C362,Fichas!$A:$D,4,FALSE),0))))</f>
      </c>
      <c r="H362" s="10">
        <f>IF(OR(D362="",G362="",F362=0),"",D362*G362*(100/F362))</f>
      </c>
      <c r="I362" s="5"/>
    </row>
    <row r="363" spans="1:9" x14ac:dyDescent="0.25">
      <c r="A363" s="7"/>
      <c r="B363" s="8">
        <f>IF(C363="","",IF(ISNUMBER(MATCH(C363,Insumos!$A:$A,0)),"insumo",IF(ISNUMBER(MATCH(C363,Preparos!$A:$A,0)),"preparo",IF(ISNUMBER(MATCH(C363,Fichas!$A:$A,0)),"ficha",""))))</f>
      </c>
      <c r="C363" s="7"/>
      <c r="D363" s="7"/>
      <c r="E363" s="8">
        <f>IF(C363="","",IFERROR(VLOOKUP(C363,Insumos!$A:$I,9,FALSE),IFERROR(VLOOKUP(C363,Preparos!$A:$D,4,FALSE),IFERROR(IF(ISNUMBER(MATCH(C363,Fichas!$A:$A,0)),"un",""),""))))</f>
      </c>
      <c r="F363" s="8">
        <f>IF(C363="","",IFERROR(VLOOKUP(C363,Insumos!$A:$G,7,FALSE),100))</f>
      </c>
      <c r="G363" s="9">
        <f>IF(C363="","",IFERROR(VLOOKUP(C363,Insumos!$A:$J,10,FALSE),IFERROR(VLOOKUP(C363,Preparos!$A:$F,6,FALSE),IFERROR(VLOOKUP(C363,Fichas!$A:$D,4,FALSE),0))))</f>
      </c>
      <c r="H363" s="10">
        <f>IF(OR(D363="",G363="",F363=0),"",D363*G363*(100/F363))</f>
      </c>
      <c r="I363" s="5"/>
    </row>
    <row r="364" spans="1:9" x14ac:dyDescent="0.25">
      <c r="A364" s="7"/>
      <c r="B364" s="8">
        <f>IF(C364="","",IF(ISNUMBER(MATCH(C364,Insumos!$A:$A,0)),"insumo",IF(ISNUMBER(MATCH(C364,Preparos!$A:$A,0)),"preparo",IF(ISNUMBER(MATCH(C364,Fichas!$A:$A,0)),"ficha",""))))</f>
      </c>
      <c r="C364" s="7"/>
      <c r="D364" s="7"/>
      <c r="E364" s="8">
        <f>IF(C364="","",IFERROR(VLOOKUP(C364,Insumos!$A:$I,9,FALSE),IFERROR(VLOOKUP(C364,Preparos!$A:$D,4,FALSE),IFERROR(IF(ISNUMBER(MATCH(C364,Fichas!$A:$A,0)),"un",""),""))))</f>
      </c>
      <c r="F364" s="8">
        <f>IF(C364="","",IFERROR(VLOOKUP(C364,Insumos!$A:$G,7,FALSE),100))</f>
      </c>
      <c r="G364" s="9">
        <f>IF(C364="","",IFERROR(VLOOKUP(C364,Insumos!$A:$J,10,FALSE),IFERROR(VLOOKUP(C364,Preparos!$A:$F,6,FALSE),IFERROR(VLOOKUP(C364,Fichas!$A:$D,4,FALSE),0))))</f>
      </c>
      <c r="H364" s="10">
        <f>IF(OR(D364="",G364="",F364=0),"",D364*G364*(100/F364))</f>
      </c>
      <c r="I364" s="5"/>
    </row>
    <row r="365" spans="1:9" x14ac:dyDescent="0.25">
      <c r="A365" s="7"/>
      <c r="B365" s="8">
        <f>IF(C365="","",IF(ISNUMBER(MATCH(C365,Insumos!$A:$A,0)),"insumo",IF(ISNUMBER(MATCH(C365,Preparos!$A:$A,0)),"preparo",IF(ISNUMBER(MATCH(C365,Fichas!$A:$A,0)),"ficha",""))))</f>
      </c>
      <c r="C365" s="7"/>
      <c r="D365" s="7"/>
      <c r="E365" s="8">
        <f>IF(C365="","",IFERROR(VLOOKUP(C365,Insumos!$A:$I,9,FALSE),IFERROR(VLOOKUP(C365,Preparos!$A:$D,4,FALSE),IFERROR(IF(ISNUMBER(MATCH(C365,Fichas!$A:$A,0)),"un",""),""))))</f>
      </c>
      <c r="F365" s="8">
        <f>IF(C365="","",IFERROR(VLOOKUP(C365,Insumos!$A:$G,7,FALSE),100))</f>
      </c>
      <c r="G365" s="9">
        <f>IF(C365="","",IFERROR(VLOOKUP(C365,Insumos!$A:$J,10,FALSE),IFERROR(VLOOKUP(C365,Preparos!$A:$F,6,FALSE),IFERROR(VLOOKUP(C365,Fichas!$A:$D,4,FALSE),0))))</f>
      </c>
      <c r="H365" s="10">
        <f>IF(OR(D365="",G365="",F365=0),"",D365*G365*(100/F365))</f>
      </c>
      <c r="I365" s="5"/>
    </row>
    <row r="366" spans="1:9" x14ac:dyDescent="0.25">
      <c r="A366" s="7"/>
      <c r="B366" s="8">
        <f>IF(C366="","",IF(ISNUMBER(MATCH(C366,Insumos!$A:$A,0)),"insumo",IF(ISNUMBER(MATCH(C366,Preparos!$A:$A,0)),"preparo",IF(ISNUMBER(MATCH(C366,Fichas!$A:$A,0)),"ficha",""))))</f>
      </c>
      <c r="C366" s="7"/>
      <c r="D366" s="7"/>
      <c r="E366" s="8">
        <f>IF(C366="","",IFERROR(VLOOKUP(C366,Insumos!$A:$I,9,FALSE),IFERROR(VLOOKUP(C366,Preparos!$A:$D,4,FALSE),IFERROR(IF(ISNUMBER(MATCH(C366,Fichas!$A:$A,0)),"un",""),""))))</f>
      </c>
      <c r="F366" s="8">
        <f>IF(C366="","",IFERROR(VLOOKUP(C366,Insumos!$A:$G,7,FALSE),100))</f>
      </c>
      <c r="G366" s="9">
        <f>IF(C366="","",IFERROR(VLOOKUP(C366,Insumos!$A:$J,10,FALSE),IFERROR(VLOOKUP(C366,Preparos!$A:$F,6,FALSE),IFERROR(VLOOKUP(C366,Fichas!$A:$D,4,FALSE),0))))</f>
      </c>
      <c r="H366" s="10">
        <f>IF(OR(D366="",G366="",F366=0),"",D366*G366*(100/F366))</f>
      </c>
      <c r="I366" s="5"/>
    </row>
    <row r="367" spans="1:9" x14ac:dyDescent="0.25">
      <c r="A367" s="7"/>
      <c r="B367" s="8">
        <f>IF(C367="","",IF(ISNUMBER(MATCH(C367,Insumos!$A:$A,0)),"insumo",IF(ISNUMBER(MATCH(C367,Preparos!$A:$A,0)),"preparo",IF(ISNUMBER(MATCH(C367,Fichas!$A:$A,0)),"ficha",""))))</f>
      </c>
      <c r="C367" s="7"/>
      <c r="D367" s="7"/>
      <c r="E367" s="8">
        <f>IF(C367="","",IFERROR(VLOOKUP(C367,Insumos!$A:$I,9,FALSE),IFERROR(VLOOKUP(C367,Preparos!$A:$D,4,FALSE),IFERROR(IF(ISNUMBER(MATCH(C367,Fichas!$A:$A,0)),"un",""),""))))</f>
      </c>
      <c r="F367" s="8">
        <f>IF(C367="","",IFERROR(VLOOKUP(C367,Insumos!$A:$G,7,FALSE),100))</f>
      </c>
      <c r="G367" s="9">
        <f>IF(C367="","",IFERROR(VLOOKUP(C367,Insumos!$A:$J,10,FALSE),IFERROR(VLOOKUP(C367,Preparos!$A:$F,6,FALSE),IFERROR(VLOOKUP(C367,Fichas!$A:$D,4,FALSE),0))))</f>
      </c>
      <c r="H367" s="10">
        <f>IF(OR(D367="",G367="",F367=0),"",D367*G367*(100/F367))</f>
      </c>
      <c r="I367" s="5"/>
    </row>
    <row r="368" spans="1:9" x14ac:dyDescent="0.25">
      <c r="A368" s="7"/>
      <c r="B368" s="8">
        <f>IF(C368="","",IF(ISNUMBER(MATCH(C368,Insumos!$A:$A,0)),"insumo",IF(ISNUMBER(MATCH(C368,Preparos!$A:$A,0)),"preparo",IF(ISNUMBER(MATCH(C368,Fichas!$A:$A,0)),"ficha",""))))</f>
      </c>
      <c r="C368" s="7"/>
      <c r="D368" s="7"/>
      <c r="E368" s="8">
        <f>IF(C368="","",IFERROR(VLOOKUP(C368,Insumos!$A:$I,9,FALSE),IFERROR(VLOOKUP(C368,Preparos!$A:$D,4,FALSE),IFERROR(IF(ISNUMBER(MATCH(C368,Fichas!$A:$A,0)),"un",""),""))))</f>
      </c>
      <c r="F368" s="8">
        <f>IF(C368="","",IFERROR(VLOOKUP(C368,Insumos!$A:$G,7,FALSE),100))</f>
      </c>
      <c r="G368" s="9">
        <f>IF(C368="","",IFERROR(VLOOKUP(C368,Insumos!$A:$J,10,FALSE),IFERROR(VLOOKUP(C368,Preparos!$A:$F,6,FALSE),IFERROR(VLOOKUP(C368,Fichas!$A:$D,4,FALSE),0))))</f>
      </c>
      <c r="H368" s="10">
        <f>IF(OR(D368="",G368="",F368=0),"",D368*G368*(100/F368))</f>
      </c>
      <c r="I368" s="5"/>
    </row>
    <row r="369" spans="1:9" x14ac:dyDescent="0.25">
      <c r="A369" s="7"/>
      <c r="B369" s="8">
        <f>IF(C369="","",IF(ISNUMBER(MATCH(C369,Insumos!$A:$A,0)),"insumo",IF(ISNUMBER(MATCH(C369,Preparos!$A:$A,0)),"preparo",IF(ISNUMBER(MATCH(C369,Fichas!$A:$A,0)),"ficha",""))))</f>
      </c>
      <c r="C369" s="7"/>
      <c r="D369" s="7"/>
      <c r="E369" s="8">
        <f>IF(C369="","",IFERROR(VLOOKUP(C369,Insumos!$A:$I,9,FALSE),IFERROR(VLOOKUP(C369,Preparos!$A:$D,4,FALSE),IFERROR(IF(ISNUMBER(MATCH(C369,Fichas!$A:$A,0)),"un",""),""))))</f>
      </c>
      <c r="F369" s="8">
        <f>IF(C369="","",IFERROR(VLOOKUP(C369,Insumos!$A:$G,7,FALSE),100))</f>
      </c>
      <c r="G369" s="9">
        <f>IF(C369="","",IFERROR(VLOOKUP(C369,Insumos!$A:$J,10,FALSE),IFERROR(VLOOKUP(C369,Preparos!$A:$F,6,FALSE),IFERROR(VLOOKUP(C369,Fichas!$A:$D,4,FALSE),0))))</f>
      </c>
      <c r="H369" s="10">
        <f>IF(OR(D369="",G369="",F369=0),"",D369*G369*(100/F369))</f>
      </c>
      <c r="I369" s="5"/>
    </row>
    <row r="370" spans="1:9" x14ac:dyDescent="0.25">
      <c r="A370" s="7"/>
      <c r="B370" s="8">
        <f>IF(C370="","",IF(ISNUMBER(MATCH(C370,Insumos!$A:$A,0)),"insumo",IF(ISNUMBER(MATCH(C370,Preparos!$A:$A,0)),"preparo",IF(ISNUMBER(MATCH(C370,Fichas!$A:$A,0)),"ficha",""))))</f>
      </c>
      <c r="C370" s="7"/>
      <c r="D370" s="7"/>
      <c r="E370" s="8">
        <f>IF(C370="","",IFERROR(VLOOKUP(C370,Insumos!$A:$I,9,FALSE),IFERROR(VLOOKUP(C370,Preparos!$A:$D,4,FALSE),IFERROR(IF(ISNUMBER(MATCH(C370,Fichas!$A:$A,0)),"un",""),""))))</f>
      </c>
      <c r="F370" s="8">
        <f>IF(C370="","",IFERROR(VLOOKUP(C370,Insumos!$A:$G,7,FALSE),100))</f>
      </c>
      <c r="G370" s="9">
        <f>IF(C370="","",IFERROR(VLOOKUP(C370,Insumos!$A:$J,10,FALSE),IFERROR(VLOOKUP(C370,Preparos!$A:$F,6,FALSE),IFERROR(VLOOKUP(C370,Fichas!$A:$D,4,FALSE),0))))</f>
      </c>
      <c r="H370" s="10">
        <f>IF(OR(D370="",G370="",F370=0),"",D370*G370*(100/F370))</f>
      </c>
      <c r="I370" s="5"/>
    </row>
    <row r="371" spans="1:9" x14ac:dyDescent="0.25">
      <c r="A371" s="7"/>
      <c r="B371" s="8">
        <f>IF(C371="","",IF(ISNUMBER(MATCH(C371,Insumos!$A:$A,0)),"insumo",IF(ISNUMBER(MATCH(C371,Preparos!$A:$A,0)),"preparo",IF(ISNUMBER(MATCH(C371,Fichas!$A:$A,0)),"ficha",""))))</f>
      </c>
      <c r="C371" s="7"/>
      <c r="D371" s="7"/>
      <c r="E371" s="8">
        <f>IF(C371="","",IFERROR(VLOOKUP(C371,Insumos!$A:$I,9,FALSE),IFERROR(VLOOKUP(C371,Preparos!$A:$D,4,FALSE),IFERROR(IF(ISNUMBER(MATCH(C371,Fichas!$A:$A,0)),"un",""),""))))</f>
      </c>
      <c r="F371" s="8">
        <f>IF(C371="","",IFERROR(VLOOKUP(C371,Insumos!$A:$G,7,FALSE),100))</f>
      </c>
      <c r="G371" s="9">
        <f>IF(C371="","",IFERROR(VLOOKUP(C371,Insumos!$A:$J,10,FALSE),IFERROR(VLOOKUP(C371,Preparos!$A:$F,6,FALSE),IFERROR(VLOOKUP(C371,Fichas!$A:$D,4,FALSE),0))))</f>
      </c>
      <c r="H371" s="10">
        <f>IF(OR(D371="",G371="",F371=0),"",D371*G371*(100/F371))</f>
      </c>
      <c r="I371" s="5"/>
    </row>
    <row r="372" spans="1:9" x14ac:dyDescent="0.25">
      <c r="A372" s="7"/>
      <c r="B372" s="8">
        <f>IF(C372="","",IF(ISNUMBER(MATCH(C372,Insumos!$A:$A,0)),"insumo",IF(ISNUMBER(MATCH(C372,Preparos!$A:$A,0)),"preparo",IF(ISNUMBER(MATCH(C372,Fichas!$A:$A,0)),"ficha",""))))</f>
      </c>
      <c r="C372" s="7"/>
      <c r="D372" s="7"/>
      <c r="E372" s="8">
        <f>IF(C372="","",IFERROR(VLOOKUP(C372,Insumos!$A:$I,9,FALSE),IFERROR(VLOOKUP(C372,Preparos!$A:$D,4,FALSE),IFERROR(IF(ISNUMBER(MATCH(C372,Fichas!$A:$A,0)),"un",""),""))))</f>
      </c>
      <c r="F372" s="8">
        <f>IF(C372="","",IFERROR(VLOOKUP(C372,Insumos!$A:$G,7,FALSE),100))</f>
      </c>
      <c r="G372" s="9">
        <f>IF(C372="","",IFERROR(VLOOKUP(C372,Insumos!$A:$J,10,FALSE),IFERROR(VLOOKUP(C372,Preparos!$A:$F,6,FALSE),IFERROR(VLOOKUP(C372,Fichas!$A:$D,4,FALSE),0))))</f>
      </c>
      <c r="H372" s="10">
        <f>IF(OR(D372="",G372="",F372=0),"",D372*G372*(100/F372))</f>
      </c>
      <c r="I372" s="5"/>
    </row>
    <row r="373" spans="1:9" x14ac:dyDescent="0.25">
      <c r="A373" s="7"/>
      <c r="B373" s="8">
        <f>IF(C373="","",IF(ISNUMBER(MATCH(C373,Insumos!$A:$A,0)),"insumo",IF(ISNUMBER(MATCH(C373,Preparos!$A:$A,0)),"preparo",IF(ISNUMBER(MATCH(C373,Fichas!$A:$A,0)),"ficha",""))))</f>
      </c>
      <c r="C373" s="7"/>
      <c r="D373" s="7"/>
      <c r="E373" s="8">
        <f>IF(C373="","",IFERROR(VLOOKUP(C373,Insumos!$A:$I,9,FALSE),IFERROR(VLOOKUP(C373,Preparos!$A:$D,4,FALSE),IFERROR(IF(ISNUMBER(MATCH(C373,Fichas!$A:$A,0)),"un",""),""))))</f>
      </c>
      <c r="F373" s="8">
        <f>IF(C373="","",IFERROR(VLOOKUP(C373,Insumos!$A:$G,7,FALSE),100))</f>
      </c>
      <c r="G373" s="9">
        <f>IF(C373="","",IFERROR(VLOOKUP(C373,Insumos!$A:$J,10,FALSE),IFERROR(VLOOKUP(C373,Preparos!$A:$F,6,FALSE),IFERROR(VLOOKUP(C373,Fichas!$A:$D,4,FALSE),0))))</f>
      </c>
      <c r="H373" s="10">
        <f>IF(OR(D373="",G373="",F373=0),"",D373*G373*(100/F373))</f>
      </c>
      <c r="I373" s="5"/>
    </row>
    <row r="374" spans="1:9" x14ac:dyDescent="0.25">
      <c r="A374" s="7"/>
      <c r="B374" s="8">
        <f>IF(C374="","",IF(ISNUMBER(MATCH(C374,Insumos!$A:$A,0)),"insumo",IF(ISNUMBER(MATCH(C374,Preparos!$A:$A,0)),"preparo",IF(ISNUMBER(MATCH(C374,Fichas!$A:$A,0)),"ficha",""))))</f>
      </c>
      <c r="C374" s="7"/>
      <c r="D374" s="7"/>
      <c r="E374" s="8">
        <f>IF(C374="","",IFERROR(VLOOKUP(C374,Insumos!$A:$I,9,FALSE),IFERROR(VLOOKUP(C374,Preparos!$A:$D,4,FALSE),IFERROR(IF(ISNUMBER(MATCH(C374,Fichas!$A:$A,0)),"un",""),""))))</f>
      </c>
      <c r="F374" s="8">
        <f>IF(C374="","",IFERROR(VLOOKUP(C374,Insumos!$A:$G,7,FALSE),100))</f>
      </c>
      <c r="G374" s="9">
        <f>IF(C374="","",IFERROR(VLOOKUP(C374,Insumos!$A:$J,10,FALSE),IFERROR(VLOOKUP(C374,Preparos!$A:$F,6,FALSE),IFERROR(VLOOKUP(C374,Fichas!$A:$D,4,FALSE),0))))</f>
      </c>
      <c r="H374" s="10">
        <f>IF(OR(D374="",G374="",F374=0),"",D374*G374*(100/F374))</f>
      </c>
      <c r="I374" s="5"/>
    </row>
    <row r="375" spans="1:9" x14ac:dyDescent="0.25">
      <c r="A375" s="7"/>
      <c r="B375" s="8">
        <f>IF(C375="","",IF(ISNUMBER(MATCH(C375,Insumos!$A:$A,0)),"insumo",IF(ISNUMBER(MATCH(C375,Preparos!$A:$A,0)),"preparo",IF(ISNUMBER(MATCH(C375,Fichas!$A:$A,0)),"ficha",""))))</f>
      </c>
      <c r="C375" s="7"/>
      <c r="D375" s="7"/>
      <c r="E375" s="8">
        <f>IF(C375="","",IFERROR(VLOOKUP(C375,Insumos!$A:$I,9,FALSE),IFERROR(VLOOKUP(C375,Preparos!$A:$D,4,FALSE),IFERROR(IF(ISNUMBER(MATCH(C375,Fichas!$A:$A,0)),"un",""),""))))</f>
      </c>
      <c r="F375" s="8">
        <f>IF(C375="","",IFERROR(VLOOKUP(C375,Insumos!$A:$G,7,FALSE),100))</f>
      </c>
      <c r="G375" s="9">
        <f>IF(C375="","",IFERROR(VLOOKUP(C375,Insumos!$A:$J,10,FALSE),IFERROR(VLOOKUP(C375,Preparos!$A:$F,6,FALSE),IFERROR(VLOOKUP(C375,Fichas!$A:$D,4,FALSE),0))))</f>
      </c>
      <c r="H375" s="10">
        <f>IF(OR(D375="",G375="",F375=0),"",D375*G375*(100/F375))</f>
      </c>
      <c r="I375" s="5"/>
    </row>
    <row r="376" spans="1:9" x14ac:dyDescent="0.25">
      <c r="A376" s="7"/>
      <c r="B376" s="8">
        <f>IF(C376="","",IF(ISNUMBER(MATCH(C376,Insumos!$A:$A,0)),"insumo",IF(ISNUMBER(MATCH(C376,Preparos!$A:$A,0)),"preparo",IF(ISNUMBER(MATCH(C376,Fichas!$A:$A,0)),"ficha",""))))</f>
      </c>
      <c r="C376" s="7"/>
      <c r="D376" s="7"/>
      <c r="E376" s="8">
        <f>IF(C376="","",IFERROR(VLOOKUP(C376,Insumos!$A:$I,9,FALSE),IFERROR(VLOOKUP(C376,Preparos!$A:$D,4,FALSE),IFERROR(IF(ISNUMBER(MATCH(C376,Fichas!$A:$A,0)),"un",""),""))))</f>
      </c>
      <c r="F376" s="8">
        <f>IF(C376="","",IFERROR(VLOOKUP(C376,Insumos!$A:$G,7,FALSE),100))</f>
      </c>
      <c r="G376" s="9">
        <f>IF(C376="","",IFERROR(VLOOKUP(C376,Insumos!$A:$J,10,FALSE),IFERROR(VLOOKUP(C376,Preparos!$A:$F,6,FALSE),IFERROR(VLOOKUP(C376,Fichas!$A:$D,4,FALSE),0))))</f>
      </c>
      <c r="H376" s="10">
        <f>IF(OR(D376="",G376="",F376=0),"",D376*G376*(100/F376))</f>
      </c>
      <c r="I376" s="5"/>
    </row>
    <row r="377" spans="1:9" x14ac:dyDescent="0.25">
      <c r="A377" s="7"/>
      <c r="B377" s="8">
        <f>IF(C377="","",IF(ISNUMBER(MATCH(C377,Insumos!$A:$A,0)),"insumo",IF(ISNUMBER(MATCH(C377,Preparos!$A:$A,0)),"preparo",IF(ISNUMBER(MATCH(C377,Fichas!$A:$A,0)),"ficha",""))))</f>
      </c>
      <c r="C377" s="7"/>
      <c r="D377" s="7"/>
      <c r="E377" s="8">
        <f>IF(C377="","",IFERROR(VLOOKUP(C377,Insumos!$A:$I,9,FALSE),IFERROR(VLOOKUP(C377,Preparos!$A:$D,4,FALSE),IFERROR(IF(ISNUMBER(MATCH(C377,Fichas!$A:$A,0)),"un",""),""))))</f>
      </c>
      <c r="F377" s="8">
        <f>IF(C377="","",IFERROR(VLOOKUP(C377,Insumos!$A:$G,7,FALSE),100))</f>
      </c>
      <c r="G377" s="9">
        <f>IF(C377="","",IFERROR(VLOOKUP(C377,Insumos!$A:$J,10,FALSE),IFERROR(VLOOKUP(C377,Preparos!$A:$F,6,FALSE),IFERROR(VLOOKUP(C377,Fichas!$A:$D,4,FALSE),0))))</f>
      </c>
      <c r="H377" s="10">
        <f>IF(OR(D377="",G377="",F377=0),"",D377*G377*(100/F377))</f>
      </c>
      <c r="I377" s="5"/>
    </row>
    <row r="378" spans="1:9" x14ac:dyDescent="0.25">
      <c r="A378" s="7"/>
      <c r="B378" s="8">
        <f>IF(C378="","",IF(ISNUMBER(MATCH(C378,Insumos!$A:$A,0)),"insumo",IF(ISNUMBER(MATCH(C378,Preparos!$A:$A,0)),"preparo",IF(ISNUMBER(MATCH(C378,Fichas!$A:$A,0)),"ficha",""))))</f>
      </c>
      <c r="C378" s="7"/>
      <c r="D378" s="7"/>
      <c r="E378" s="8">
        <f>IF(C378="","",IFERROR(VLOOKUP(C378,Insumos!$A:$I,9,FALSE),IFERROR(VLOOKUP(C378,Preparos!$A:$D,4,FALSE),IFERROR(IF(ISNUMBER(MATCH(C378,Fichas!$A:$A,0)),"un",""),""))))</f>
      </c>
      <c r="F378" s="8">
        <f>IF(C378="","",IFERROR(VLOOKUP(C378,Insumos!$A:$G,7,FALSE),100))</f>
      </c>
      <c r="G378" s="9">
        <f>IF(C378="","",IFERROR(VLOOKUP(C378,Insumos!$A:$J,10,FALSE),IFERROR(VLOOKUP(C378,Preparos!$A:$F,6,FALSE),IFERROR(VLOOKUP(C378,Fichas!$A:$D,4,FALSE),0))))</f>
      </c>
      <c r="H378" s="10">
        <f>IF(OR(D378="",G378="",F378=0),"",D378*G378*(100/F378))</f>
      </c>
      <c r="I378" s="5"/>
    </row>
    <row r="379" spans="1:9" x14ac:dyDescent="0.25">
      <c r="A379" s="7"/>
      <c r="B379" s="8">
        <f>IF(C379="","",IF(ISNUMBER(MATCH(C379,Insumos!$A:$A,0)),"insumo",IF(ISNUMBER(MATCH(C379,Preparos!$A:$A,0)),"preparo",IF(ISNUMBER(MATCH(C379,Fichas!$A:$A,0)),"ficha",""))))</f>
      </c>
      <c r="C379" s="7"/>
      <c r="D379" s="7"/>
      <c r="E379" s="8">
        <f>IF(C379="","",IFERROR(VLOOKUP(C379,Insumos!$A:$I,9,FALSE),IFERROR(VLOOKUP(C379,Preparos!$A:$D,4,FALSE),IFERROR(IF(ISNUMBER(MATCH(C379,Fichas!$A:$A,0)),"un",""),""))))</f>
      </c>
      <c r="F379" s="8">
        <f>IF(C379="","",IFERROR(VLOOKUP(C379,Insumos!$A:$G,7,FALSE),100))</f>
      </c>
      <c r="G379" s="9">
        <f>IF(C379="","",IFERROR(VLOOKUP(C379,Insumos!$A:$J,10,FALSE),IFERROR(VLOOKUP(C379,Preparos!$A:$F,6,FALSE),IFERROR(VLOOKUP(C379,Fichas!$A:$D,4,FALSE),0))))</f>
      </c>
      <c r="H379" s="10">
        <f>IF(OR(D379="",G379="",F379=0),"",D379*G379*(100/F379))</f>
      </c>
      <c r="I379" s="5"/>
    </row>
    <row r="380" spans="1:9" x14ac:dyDescent="0.25">
      <c r="A380" s="7"/>
      <c r="B380" s="8">
        <f>IF(C380="","",IF(ISNUMBER(MATCH(C380,Insumos!$A:$A,0)),"insumo",IF(ISNUMBER(MATCH(C380,Preparos!$A:$A,0)),"preparo",IF(ISNUMBER(MATCH(C380,Fichas!$A:$A,0)),"ficha",""))))</f>
      </c>
      <c r="C380" s="7"/>
      <c r="D380" s="7"/>
      <c r="E380" s="8">
        <f>IF(C380="","",IFERROR(VLOOKUP(C380,Insumos!$A:$I,9,FALSE),IFERROR(VLOOKUP(C380,Preparos!$A:$D,4,FALSE),IFERROR(IF(ISNUMBER(MATCH(C380,Fichas!$A:$A,0)),"un",""),""))))</f>
      </c>
      <c r="F380" s="8">
        <f>IF(C380="","",IFERROR(VLOOKUP(C380,Insumos!$A:$G,7,FALSE),100))</f>
      </c>
      <c r="G380" s="9">
        <f>IF(C380="","",IFERROR(VLOOKUP(C380,Insumos!$A:$J,10,FALSE),IFERROR(VLOOKUP(C380,Preparos!$A:$F,6,FALSE),IFERROR(VLOOKUP(C380,Fichas!$A:$D,4,FALSE),0))))</f>
      </c>
      <c r="H380" s="10">
        <f>IF(OR(D380="",G380="",F380=0),"",D380*G380*(100/F380))</f>
      </c>
      <c r="I380" s="5"/>
    </row>
    <row r="381" spans="1:9" x14ac:dyDescent="0.25">
      <c r="A381" s="7"/>
      <c r="B381" s="8">
        <f>IF(C381="","",IF(ISNUMBER(MATCH(C381,Insumos!$A:$A,0)),"insumo",IF(ISNUMBER(MATCH(C381,Preparos!$A:$A,0)),"preparo",IF(ISNUMBER(MATCH(C381,Fichas!$A:$A,0)),"ficha",""))))</f>
      </c>
      <c r="C381" s="7"/>
      <c r="D381" s="7"/>
      <c r="E381" s="8">
        <f>IF(C381="","",IFERROR(VLOOKUP(C381,Insumos!$A:$I,9,FALSE),IFERROR(VLOOKUP(C381,Preparos!$A:$D,4,FALSE),IFERROR(IF(ISNUMBER(MATCH(C381,Fichas!$A:$A,0)),"un",""),""))))</f>
      </c>
      <c r="F381" s="8">
        <f>IF(C381="","",IFERROR(VLOOKUP(C381,Insumos!$A:$G,7,FALSE),100))</f>
      </c>
      <c r="G381" s="9">
        <f>IF(C381="","",IFERROR(VLOOKUP(C381,Insumos!$A:$J,10,FALSE),IFERROR(VLOOKUP(C381,Preparos!$A:$F,6,FALSE),IFERROR(VLOOKUP(C381,Fichas!$A:$D,4,FALSE),0))))</f>
      </c>
      <c r="H381" s="10">
        <f>IF(OR(D381="",G381="",F381=0),"",D381*G381*(100/F381))</f>
      </c>
      <c r="I381" s="5"/>
    </row>
    <row r="382" spans="1:9" x14ac:dyDescent="0.25">
      <c r="A382" s="7"/>
      <c r="B382" s="8">
        <f>IF(C382="","",IF(ISNUMBER(MATCH(C382,Insumos!$A:$A,0)),"insumo",IF(ISNUMBER(MATCH(C382,Preparos!$A:$A,0)),"preparo",IF(ISNUMBER(MATCH(C382,Fichas!$A:$A,0)),"ficha",""))))</f>
      </c>
      <c r="C382" s="7"/>
      <c r="D382" s="7"/>
      <c r="E382" s="8">
        <f>IF(C382="","",IFERROR(VLOOKUP(C382,Insumos!$A:$I,9,FALSE),IFERROR(VLOOKUP(C382,Preparos!$A:$D,4,FALSE),IFERROR(IF(ISNUMBER(MATCH(C382,Fichas!$A:$A,0)),"un",""),""))))</f>
      </c>
      <c r="F382" s="8">
        <f>IF(C382="","",IFERROR(VLOOKUP(C382,Insumos!$A:$G,7,FALSE),100))</f>
      </c>
      <c r="G382" s="9">
        <f>IF(C382="","",IFERROR(VLOOKUP(C382,Insumos!$A:$J,10,FALSE),IFERROR(VLOOKUP(C382,Preparos!$A:$F,6,FALSE),IFERROR(VLOOKUP(C382,Fichas!$A:$D,4,FALSE),0))))</f>
      </c>
      <c r="H382" s="10">
        <f>IF(OR(D382="",G382="",F382=0),"",D382*G382*(100/F382))</f>
      </c>
      <c r="I382" s="5"/>
    </row>
    <row r="383" spans="1:9" x14ac:dyDescent="0.25">
      <c r="A383" s="7"/>
      <c r="B383" s="8">
        <f>IF(C383="","",IF(ISNUMBER(MATCH(C383,Insumos!$A:$A,0)),"insumo",IF(ISNUMBER(MATCH(C383,Preparos!$A:$A,0)),"preparo",IF(ISNUMBER(MATCH(C383,Fichas!$A:$A,0)),"ficha",""))))</f>
      </c>
      <c r="C383" s="7"/>
      <c r="D383" s="7"/>
      <c r="E383" s="8">
        <f>IF(C383="","",IFERROR(VLOOKUP(C383,Insumos!$A:$I,9,FALSE),IFERROR(VLOOKUP(C383,Preparos!$A:$D,4,FALSE),IFERROR(IF(ISNUMBER(MATCH(C383,Fichas!$A:$A,0)),"un",""),""))))</f>
      </c>
      <c r="F383" s="8">
        <f>IF(C383="","",IFERROR(VLOOKUP(C383,Insumos!$A:$G,7,FALSE),100))</f>
      </c>
      <c r="G383" s="9">
        <f>IF(C383="","",IFERROR(VLOOKUP(C383,Insumos!$A:$J,10,FALSE),IFERROR(VLOOKUP(C383,Preparos!$A:$F,6,FALSE),IFERROR(VLOOKUP(C383,Fichas!$A:$D,4,FALSE),0))))</f>
      </c>
      <c r="H383" s="10">
        <f>IF(OR(D383="",G383="",F383=0),"",D383*G383*(100/F383))</f>
      </c>
      <c r="I383" s="5"/>
    </row>
    <row r="384" spans="1:9" x14ac:dyDescent="0.25">
      <c r="A384" s="7"/>
      <c r="B384" s="8">
        <f>IF(C384="","",IF(ISNUMBER(MATCH(C384,Insumos!$A:$A,0)),"insumo",IF(ISNUMBER(MATCH(C384,Preparos!$A:$A,0)),"preparo",IF(ISNUMBER(MATCH(C384,Fichas!$A:$A,0)),"ficha",""))))</f>
      </c>
      <c r="C384" s="7"/>
      <c r="D384" s="7"/>
      <c r="E384" s="8">
        <f>IF(C384="","",IFERROR(VLOOKUP(C384,Insumos!$A:$I,9,FALSE),IFERROR(VLOOKUP(C384,Preparos!$A:$D,4,FALSE),IFERROR(IF(ISNUMBER(MATCH(C384,Fichas!$A:$A,0)),"un",""),""))))</f>
      </c>
      <c r="F384" s="8">
        <f>IF(C384="","",IFERROR(VLOOKUP(C384,Insumos!$A:$G,7,FALSE),100))</f>
      </c>
      <c r="G384" s="9">
        <f>IF(C384="","",IFERROR(VLOOKUP(C384,Insumos!$A:$J,10,FALSE),IFERROR(VLOOKUP(C384,Preparos!$A:$F,6,FALSE),IFERROR(VLOOKUP(C384,Fichas!$A:$D,4,FALSE),0))))</f>
      </c>
      <c r="H384" s="10">
        <f>IF(OR(D384="",G384="",F384=0),"",D384*G384*(100/F384))</f>
      </c>
      <c r="I384" s="5"/>
    </row>
    <row r="385" spans="1:9" x14ac:dyDescent="0.25">
      <c r="A385" s="7"/>
      <c r="B385" s="8">
        <f>IF(C385="","",IF(ISNUMBER(MATCH(C385,Insumos!$A:$A,0)),"insumo",IF(ISNUMBER(MATCH(C385,Preparos!$A:$A,0)),"preparo",IF(ISNUMBER(MATCH(C385,Fichas!$A:$A,0)),"ficha",""))))</f>
      </c>
      <c r="C385" s="7"/>
      <c r="D385" s="7"/>
      <c r="E385" s="8">
        <f>IF(C385="","",IFERROR(VLOOKUP(C385,Insumos!$A:$I,9,FALSE),IFERROR(VLOOKUP(C385,Preparos!$A:$D,4,FALSE),IFERROR(IF(ISNUMBER(MATCH(C385,Fichas!$A:$A,0)),"un",""),""))))</f>
      </c>
      <c r="F385" s="8">
        <f>IF(C385="","",IFERROR(VLOOKUP(C385,Insumos!$A:$G,7,FALSE),100))</f>
      </c>
      <c r="G385" s="9">
        <f>IF(C385="","",IFERROR(VLOOKUP(C385,Insumos!$A:$J,10,FALSE),IFERROR(VLOOKUP(C385,Preparos!$A:$F,6,FALSE),IFERROR(VLOOKUP(C385,Fichas!$A:$D,4,FALSE),0))))</f>
      </c>
      <c r="H385" s="10">
        <f>IF(OR(D385="",G385="",F385=0),"",D385*G385*(100/F385))</f>
      </c>
      <c r="I385" s="5"/>
    </row>
    <row r="386" spans="1:9" x14ac:dyDescent="0.25">
      <c r="A386" s="7"/>
      <c r="B386" s="8">
        <f>IF(C386="","",IF(ISNUMBER(MATCH(C386,Insumos!$A:$A,0)),"insumo",IF(ISNUMBER(MATCH(C386,Preparos!$A:$A,0)),"preparo",IF(ISNUMBER(MATCH(C386,Fichas!$A:$A,0)),"ficha",""))))</f>
      </c>
      <c r="C386" s="7"/>
      <c r="D386" s="7"/>
      <c r="E386" s="8">
        <f>IF(C386="","",IFERROR(VLOOKUP(C386,Insumos!$A:$I,9,FALSE),IFERROR(VLOOKUP(C386,Preparos!$A:$D,4,FALSE),IFERROR(IF(ISNUMBER(MATCH(C386,Fichas!$A:$A,0)),"un",""),""))))</f>
      </c>
      <c r="F386" s="8">
        <f>IF(C386="","",IFERROR(VLOOKUP(C386,Insumos!$A:$G,7,FALSE),100))</f>
      </c>
      <c r="G386" s="9">
        <f>IF(C386="","",IFERROR(VLOOKUP(C386,Insumos!$A:$J,10,FALSE),IFERROR(VLOOKUP(C386,Preparos!$A:$F,6,FALSE),IFERROR(VLOOKUP(C386,Fichas!$A:$D,4,FALSE),0))))</f>
      </c>
      <c r="H386" s="10">
        <f>IF(OR(D386="",G386="",F386=0),"",D386*G386*(100/F386))</f>
      </c>
      <c r="I386" s="5"/>
    </row>
    <row r="387" spans="1:9" x14ac:dyDescent="0.25">
      <c r="A387" s="7"/>
      <c r="B387" s="8">
        <f>IF(C387="","",IF(ISNUMBER(MATCH(C387,Insumos!$A:$A,0)),"insumo",IF(ISNUMBER(MATCH(C387,Preparos!$A:$A,0)),"preparo",IF(ISNUMBER(MATCH(C387,Fichas!$A:$A,0)),"ficha",""))))</f>
      </c>
      <c r="C387" s="7"/>
      <c r="D387" s="7"/>
      <c r="E387" s="8">
        <f>IF(C387="","",IFERROR(VLOOKUP(C387,Insumos!$A:$I,9,FALSE),IFERROR(VLOOKUP(C387,Preparos!$A:$D,4,FALSE),IFERROR(IF(ISNUMBER(MATCH(C387,Fichas!$A:$A,0)),"un",""),""))))</f>
      </c>
      <c r="F387" s="8">
        <f>IF(C387="","",IFERROR(VLOOKUP(C387,Insumos!$A:$G,7,FALSE),100))</f>
      </c>
      <c r="G387" s="9">
        <f>IF(C387="","",IFERROR(VLOOKUP(C387,Insumos!$A:$J,10,FALSE),IFERROR(VLOOKUP(C387,Preparos!$A:$F,6,FALSE),IFERROR(VLOOKUP(C387,Fichas!$A:$D,4,FALSE),0))))</f>
      </c>
      <c r="H387" s="10">
        <f>IF(OR(D387="",G387="",F387=0),"",D387*G387*(100/F387))</f>
      </c>
      <c r="I387" s="5"/>
    </row>
    <row r="388" spans="1:9" x14ac:dyDescent="0.25">
      <c r="A388" s="7"/>
      <c r="B388" s="8">
        <f>IF(C388="","",IF(ISNUMBER(MATCH(C388,Insumos!$A:$A,0)),"insumo",IF(ISNUMBER(MATCH(C388,Preparos!$A:$A,0)),"preparo",IF(ISNUMBER(MATCH(C388,Fichas!$A:$A,0)),"ficha",""))))</f>
      </c>
      <c r="C388" s="7"/>
      <c r="D388" s="7"/>
      <c r="E388" s="8">
        <f>IF(C388="","",IFERROR(VLOOKUP(C388,Insumos!$A:$I,9,FALSE),IFERROR(VLOOKUP(C388,Preparos!$A:$D,4,FALSE),IFERROR(IF(ISNUMBER(MATCH(C388,Fichas!$A:$A,0)),"un",""),""))))</f>
      </c>
      <c r="F388" s="8">
        <f>IF(C388="","",IFERROR(VLOOKUP(C388,Insumos!$A:$G,7,FALSE),100))</f>
      </c>
      <c r="G388" s="9">
        <f>IF(C388="","",IFERROR(VLOOKUP(C388,Insumos!$A:$J,10,FALSE),IFERROR(VLOOKUP(C388,Preparos!$A:$F,6,FALSE),IFERROR(VLOOKUP(C388,Fichas!$A:$D,4,FALSE),0))))</f>
      </c>
      <c r="H388" s="10">
        <f>IF(OR(D388="",G388="",F388=0),"",D388*G388*(100/F388))</f>
      </c>
      <c r="I388" s="5"/>
    </row>
    <row r="389" spans="1:9" x14ac:dyDescent="0.25">
      <c r="A389" s="7"/>
      <c r="B389" s="8">
        <f>IF(C389="","",IF(ISNUMBER(MATCH(C389,Insumos!$A:$A,0)),"insumo",IF(ISNUMBER(MATCH(C389,Preparos!$A:$A,0)),"preparo",IF(ISNUMBER(MATCH(C389,Fichas!$A:$A,0)),"ficha",""))))</f>
      </c>
      <c r="C389" s="7"/>
      <c r="D389" s="7"/>
      <c r="E389" s="8">
        <f>IF(C389="","",IFERROR(VLOOKUP(C389,Insumos!$A:$I,9,FALSE),IFERROR(VLOOKUP(C389,Preparos!$A:$D,4,FALSE),IFERROR(IF(ISNUMBER(MATCH(C389,Fichas!$A:$A,0)),"un",""),""))))</f>
      </c>
      <c r="F389" s="8">
        <f>IF(C389="","",IFERROR(VLOOKUP(C389,Insumos!$A:$G,7,FALSE),100))</f>
      </c>
      <c r="G389" s="9">
        <f>IF(C389="","",IFERROR(VLOOKUP(C389,Insumos!$A:$J,10,FALSE),IFERROR(VLOOKUP(C389,Preparos!$A:$F,6,FALSE),IFERROR(VLOOKUP(C389,Fichas!$A:$D,4,FALSE),0))))</f>
      </c>
      <c r="H389" s="10">
        <f>IF(OR(D389="",G389="",F389=0),"",D389*G389*(100/F389))</f>
      </c>
      <c r="I389" s="5"/>
    </row>
    <row r="390" spans="1:9" x14ac:dyDescent="0.25">
      <c r="A390" s="7"/>
      <c r="B390" s="8">
        <f>IF(C390="","",IF(ISNUMBER(MATCH(C390,Insumos!$A:$A,0)),"insumo",IF(ISNUMBER(MATCH(C390,Preparos!$A:$A,0)),"preparo",IF(ISNUMBER(MATCH(C390,Fichas!$A:$A,0)),"ficha",""))))</f>
      </c>
      <c r="C390" s="7"/>
      <c r="D390" s="7"/>
      <c r="E390" s="8">
        <f>IF(C390="","",IFERROR(VLOOKUP(C390,Insumos!$A:$I,9,FALSE),IFERROR(VLOOKUP(C390,Preparos!$A:$D,4,FALSE),IFERROR(IF(ISNUMBER(MATCH(C390,Fichas!$A:$A,0)),"un",""),""))))</f>
      </c>
      <c r="F390" s="8">
        <f>IF(C390="","",IFERROR(VLOOKUP(C390,Insumos!$A:$G,7,FALSE),100))</f>
      </c>
      <c r="G390" s="9">
        <f>IF(C390="","",IFERROR(VLOOKUP(C390,Insumos!$A:$J,10,FALSE),IFERROR(VLOOKUP(C390,Preparos!$A:$F,6,FALSE),IFERROR(VLOOKUP(C390,Fichas!$A:$D,4,FALSE),0))))</f>
      </c>
      <c r="H390" s="10">
        <f>IF(OR(D390="",G390="",F390=0),"",D390*G390*(100/F390))</f>
      </c>
      <c r="I390" s="5"/>
    </row>
    <row r="391" spans="1:9" x14ac:dyDescent="0.25">
      <c r="A391" s="7"/>
      <c r="B391" s="8">
        <f>IF(C391="","",IF(ISNUMBER(MATCH(C391,Insumos!$A:$A,0)),"insumo",IF(ISNUMBER(MATCH(C391,Preparos!$A:$A,0)),"preparo",IF(ISNUMBER(MATCH(C391,Fichas!$A:$A,0)),"ficha",""))))</f>
      </c>
      <c r="C391" s="7"/>
      <c r="D391" s="7"/>
      <c r="E391" s="8">
        <f>IF(C391="","",IFERROR(VLOOKUP(C391,Insumos!$A:$I,9,FALSE),IFERROR(VLOOKUP(C391,Preparos!$A:$D,4,FALSE),IFERROR(IF(ISNUMBER(MATCH(C391,Fichas!$A:$A,0)),"un",""),""))))</f>
      </c>
      <c r="F391" s="8">
        <f>IF(C391="","",IFERROR(VLOOKUP(C391,Insumos!$A:$G,7,FALSE),100))</f>
      </c>
      <c r="G391" s="9">
        <f>IF(C391="","",IFERROR(VLOOKUP(C391,Insumos!$A:$J,10,FALSE),IFERROR(VLOOKUP(C391,Preparos!$A:$F,6,FALSE),IFERROR(VLOOKUP(C391,Fichas!$A:$D,4,FALSE),0))))</f>
      </c>
      <c r="H391" s="10">
        <f>IF(OR(D391="",G391="",F391=0),"",D391*G391*(100/F391))</f>
      </c>
      <c r="I391" s="5"/>
    </row>
    <row r="392" spans="1:9" x14ac:dyDescent="0.25">
      <c r="A392" s="7"/>
      <c r="B392" s="8">
        <f>IF(C392="","",IF(ISNUMBER(MATCH(C392,Insumos!$A:$A,0)),"insumo",IF(ISNUMBER(MATCH(C392,Preparos!$A:$A,0)),"preparo",IF(ISNUMBER(MATCH(C392,Fichas!$A:$A,0)),"ficha",""))))</f>
      </c>
      <c r="C392" s="7"/>
      <c r="D392" s="7"/>
      <c r="E392" s="8">
        <f>IF(C392="","",IFERROR(VLOOKUP(C392,Insumos!$A:$I,9,FALSE),IFERROR(VLOOKUP(C392,Preparos!$A:$D,4,FALSE),IFERROR(IF(ISNUMBER(MATCH(C392,Fichas!$A:$A,0)),"un",""),""))))</f>
      </c>
      <c r="F392" s="8">
        <f>IF(C392="","",IFERROR(VLOOKUP(C392,Insumos!$A:$G,7,FALSE),100))</f>
      </c>
      <c r="G392" s="9">
        <f>IF(C392="","",IFERROR(VLOOKUP(C392,Insumos!$A:$J,10,FALSE),IFERROR(VLOOKUP(C392,Preparos!$A:$F,6,FALSE),IFERROR(VLOOKUP(C392,Fichas!$A:$D,4,FALSE),0))))</f>
      </c>
      <c r="H392" s="10">
        <f>IF(OR(D392="",G392="",F392=0),"",D392*G392*(100/F392))</f>
      </c>
      <c r="I392" s="5"/>
    </row>
    <row r="393" spans="1:9" x14ac:dyDescent="0.25">
      <c r="A393" s="7"/>
      <c r="B393" s="8">
        <f>IF(C393="","",IF(ISNUMBER(MATCH(C393,Insumos!$A:$A,0)),"insumo",IF(ISNUMBER(MATCH(C393,Preparos!$A:$A,0)),"preparo",IF(ISNUMBER(MATCH(C393,Fichas!$A:$A,0)),"ficha",""))))</f>
      </c>
      <c r="C393" s="7"/>
      <c r="D393" s="7"/>
      <c r="E393" s="8">
        <f>IF(C393="","",IFERROR(VLOOKUP(C393,Insumos!$A:$I,9,FALSE),IFERROR(VLOOKUP(C393,Preparos!$A:$D,4,FALSE),IFERROR(IF(ISNUMBER(MATCH(C393,Fichas!$A:$A,0)),"un",""),""))))</f>
      </c>
      <c r="F393" s="8">
        <f>IF(C393="","",IFERROR(VLOOKUP(C393,Insumos!$A:$G,7,FALSE),100))</f>
      </c>
      <c r="G393" s="9">
        <f>IF(C393="","",IFERROR(VLOOKUP(C393,Insumos!$A:$J,10,FALSE),IFERROR(VLOOKUP(C393,Preparos!$A:$F,6,FALSE),IFERROR(VLOOKUP(C393,Fichas!$A:$D,4,FALSE),0))))</f>
      </c>
      <c r="H393" s="10">
        <f>IF(OR(D393="",G393="",F393=0),"",D393*G393*(100/F393))</f>
      </c>
      <c r="I393" s="5"/>
    </row>
    <row r="394" spans="1:9" x14ac:dyDescent="0.25">
      <c r="A394" s="7"/>
      <c r="B394" s="8">
        <f>IF(C394="","",IF(ISNUMBER(MATCH(C394,Insumos!$A:$A,0)),"insumo",IF(ISNUMBER(MATCH(C394,Preparos!$A:$A,0)),"preparo",IF(ISNUMBER(MATCH(C394,Fichas!$A:$A,0)),"ficha",""))))</f>
      </c>
      <c r="C394" s="7"/>
      <c r="D394" s="7"/>
      <c r="E394" s="8">
        <f>IF(C394="","",IFERROR(VLOOKUP(C394,Insumos!$A:$I,9,FALSE),IFERROR(VLOOKUP(C394,Preparos!$A:$D,4,FALSE),IFERROR(IF(ISNUMBER(MATCH(C394,Fichas!$A:$A,0)),"un",""),""))))</f>
      </c>
      <c r="F394" s="8">
        <f>IF(C394="","",IFERROR(VLOOKUP(C394,Insumos!$A:$G,7,FALSE),100))</f>
      </c>
      <c r="G394" s="9">
        <f>IF(C394="","",IFERROR(VLOOKUP(C394,Insumos!$A:$J,10,FALSE),IFERROR(VLOOKUP(C394,Preparos!$A:$F,6,FALSE),IFERROR(VLOOKUP(C394,Fichas!$A:$D,4,FALSE),0))))</f>
      </c>
      <c r="H394" s="10">
        <f>IF(OR(D394="",G394="",F394=0),"",D394*G394*(100/F394))</f>
      </c>
      <c r="I394" s="5"/>
    </row>
    <row r="395" spans="1:9" x14ac:dyDescent="0.25">
      <c r="A395" s="7"/>
      <c r="B395" s="8">
        <f>IF(C395="","",IF(ISNUMBER(MATCH(C395,Insumos!$A:$A,0)),"insumo",IF(ISNUMBER(MATCH(C395,Preparos!$A:$A,0)),"preparo",IF(ISNUMBER(MATCH(C395,Fichas!$A:$A,0)),"ficha",""))))</f>
      </c>
      <c r="C395" s="7"/>
      <c r="D395" s="7"/>
      <c r="E395" s="8">
        <f>IF(C395="","",IFERROR(VLOOKUP(C395,Insumos!$A:$I,9,FALSE),IFERROR(VLOOKUP(C395,Preparos!$A:$D,4,FALSE),IFERROR(IF(ISNUMBER(MATCH(C395,Fichas!$A:$A,0)),"un",""),""))))</f>
      </c>
      <c r="F395" s="8">
        <f>IF(C395="","",IFERROR(VLOOKUP(C395,Insumos!$A:$G,7,FALSE),100))</f>
      </c>
      <c r="G395" s="9">
        <f>IF(C395="","",IFERROR(VLOOKUP(C395,Insumos!$A:$J,10,FALSE),IFERROR(VLOOKUP(C395,Preparos!$A:$F,6,FALSE),IFERROR(VLOOKUP(C395,Fichas!$A:$D,4,FALSE),0))))</f>
      </c>
      <c r="H395" s="10">
        <f>IF(OR(D395="",G395="",F395=0),"",D395*G395*(100/F395))</f>
      </c>
      <c r="I395" s="5"/>
    </row>
    <row r="396" spans="1:9" x14ac:dyDescent="0.25">
      <c r="A396" s="7"/>
      <c r="B396" s="8">
        <f>IF(C396="","",IF(ISNUMBER(MATCH(C396,Insumos!$A:$A,0)),"insumo",IF(ISNUMBER(MATCH(C396,Preparos!$A:$A,0)),"preparo",IF(ISNUMBER(MATCH(C396,Fichas!$A:$A,0)),"ficha",""))))</f>
      </c>
      <c r="C396" s="7"/>
      <c r="D396" s="7"/>
      <c r="E396" s="8">
        <f>IF(C396="","",IFERROR(VLOOKUP(C396,Insumos!$A:$I,9,FALSE),IFERROR(VLOOKUP(C396,Preparos!$A:$D,4,FALSE),IFERROR(IF(ISNUMBER(MATCH(C396,Fichas!$A:$A,0)),"un",""),""))))</f>
      </c>
      <c r="F396" s="8">
        <f>IF(C396="","",IFERROR(VLOOKUP(C396,Insumos!$A:$G,7,FALSE),100))</f>
      </c>
      <c r="G396" s="9">
        <f>IF(C396="","",IFERROR(VLOOKUP(C396,Insumos!$A:$J,10,FALSE),IFERROR(VLOOKUP(C396,Preparos!$A:$F,6,FALSE),IFERROR(VLOOKUP(C396,Fichas!$A:$D,4,FALSE),0))))</f>
      </c>
      <c r="H396" s="10">
        <f>IF(OR(D396="",G396="",F396=0),"",D396*G396*(100/F396))</f>
      </c>
      <c r="I396" s="5"/>
    </row>
    <row r="397" spans="1:9" x14ac:dyDescent="0.25">
      <c r="A397" s="7"/>
      <c r="B397" s="8">
        <f>IF(C397="","",IF(ISNUMBER(MATCH(C397,Insumos!$A:$A,0)),"insumo",IF(ISNUMBER(MATCH(C397,Preparos!$A:$A,0)),"preparo",IF(ISNUMBER(MATCH(C397,Fichas!$A:$A,0)),"ficha",""))))</f>
      </c>
      <c r="C397" s="7"/>
      <c r="D397" s="7"/>
      <c r="E397" s="8">
        <f>IF(C397="","",IFERROR(VLOOKUP(C397,Insumos!$A:$I,9,FALSE),IFERROR(VLOOKUP(C397,Preparos!$A:$D,4,FALSE),IFERROR(IF(ISNUMBER(MATCH(C397,Fichas!$A:$A,0)),"un",""),""))))</f>
      </c>
      <c r="F397" s="8">
        <f>IF(C397="","",IFERROR(VLOOKUP(C397,Insumos!$A:$G,7,FALSE),100))</f>
      </c>
      <c r="G397" s="9">
        <f>IF(C397="","",IFERROR(VLOOKUP(C397,Insumos!$A:$J,10,FALSE),IFERROR(VLOOKUP(C397,Preparos!$A:$F,6,FALSE),IFERROR(VLOOKUP(C397,Fichas!$A:$D,4,FALSE),0))))</f>
      </c>
      <c r="H397" s="10">
        <f>IF(OR(D397="",G397="",F397=0),"",D397*G397*(100/F397))</f>
      </c>
      <c r="I397" s="5"/>
    </row>
    <row r="398" spans="1:9" x14ac:dyDescent="0.25">
      <c r="A398" s="7"/>
      <c r="B398" s="8">
        <f>IF(C398="","",IF(ISNUMBER(MATCH(C398,Insumos!$A:$A,0)),"insumo",IF(ISNUMBER(MATCH(C398,Preparos!$A:$A,0)),"preparo",IF(ISNUMBER(MATCH(C398,Fichas!$A:$A,0)),"ficha",""))))</f>
      </c>
      <c r="C398" s="7"/>
      <c r="D398" s="7"/>
      <c r="E398" s="8">
        <f>IF(C398="","",IFERROR(VLOOKUP(C398,Insumos!$A:$I,9,FALSE),IFERROR(VLOOKUP(C398,Preparos!$A:$D,4,FALSE),IFERROR(IF(ISNUMBER(MATCH(C398,Fichas!$A:$A,0)),"un",""),""))))</f>
      </c>
      <c r="F398" s="8">
        <f>IF(C398="","",IFERROR(VLOOKUP(C398,Insumos!$A:$G,7,FALSE),100))</f>
      </c>
      <c r="G398" s="9">
        <f>IF(C398="","",IFERROR(VLOOKUP(C398,Insumos!$A:$J,10,FALSE),IFERROR(VLOOKUP(C398,Preparos!$A:$F,6,FALSE),IFERROR(VLOOKUP(C398,Fichas!$A:$D,4,FALSE),0))))</f>
      </c>
      <c r="H398" s="10">
        <f>IF(OR(D398="",G398="",F398=0),"",D398*G398*(100/F398))</f>
      </c>
      <c r="I398" s="5"/>
    </row>
    <row r="399" spans="1:9" x14ac:dyDescent="0.25">
      <c r="A399" s="7"/>
      <c r="B399" s="8">
        <f>IF(C399="","",IF(ISNUMBER(MATCH(C399,Insumos!$A:$A,0)),"insumo",IF(ISNUMBER(MATCH(C399,Preparos!$A:$A,0)),"preparo",IF(ISNUMBER(MATCH(C399,Fichas!$A:$A,0)),"ficha",""))))</f>
      </c>
      <c r="C399" s="7"/>
      <c r="D399" s="7"/>
      <c r="E399" s="8">
        <f>IF(C399="","",IFERROR(VLOOKUP(C399,Insumos!$A:$I,9,FALSE),IFERROR(VLOOKUP(C399,Preparos!$A:$D,4,FALSE),IFERROR(IF(ISNUMBER(MATCH(C399,Fichas!$A:$A,0)),"un",""),""))))</f>
      </c>
      <c r="F399" s="8">
        <f>IF(C399="","",IFERROR(VLOOKUP(C399,Insumos!$A:$G,7,FALSE),100))</f>
      </c>
      <c r="G399" s="9">
        <f>IF(C399="","",IFERROR(VLOOKUP(C399,Insumos!$A:$J,10,FALSE),IFERROR(VLOOKUP(C399,Preparos!$A:$F,6,FALSE),IFERROR(VLOOKUP(C399,Fichas!$A:$D,4,FALSE),0))))</f>
      </c>
      <c r="H399" s="10">
        <f>IF(OR(D399="",G399="",F399=0),"",D399*G399*(100/F399))</f>
      </c>
      <c r="I399" s="5"/>
    </row>
    <row r="400" spans="1:9" x14ac:dyDescent="0.25">
      <c r="A400" s="7"/>
      <c r="B400" s="8">
        <f>IF(C400="","",IF(ISNUMBER(MATCH(C400,Insumos!$A:$A,0)),"insumo",IF(ISNUMBER(MATCH(C400,Preparos!$A:$A,0)),"preparo",IF(ISNUMBER(MATCH(C400,Fichas!$A:$A,0)),"ficha",""))))</f>
      </c>
      <c r="C400" s="7"/>
      <c r="D400" s="7"/>
      <c r="E400" s="8">
        <f>IF(C400="","",IFERROR(VLOOKUP(C400,Insumos!$A:$I,9,FALSE),IFERROR(VLOOKUP(C400,Preparos!$A:$D,4,FALSE),IFERROR(IF(ISNUMBER(MATCH(C400,Fichas!$A:$A,0)),"un",""),""))))</f>
      </c>
      <c r="F400" s="8">
        <f>IF(C400="","",IFERROR(VLOOKUP(C400,Insumos!$A:$G,7,FALSE),100))</f>
      </c>
      <c r="G400" s="9">
        <f>IF(C400="","",IFERROR(VLOOKUP(C400,Insumos!$A:$J,10,FALSE),IFERROR(VLOOKUP(C400,Preparos!$A:$F,6,FALSE),IFERROR(VLOOKUP(C400,Fichas!$A:$D,4,FALSE),0))))</f>
      </c>
      <c r="H400" s="10">
        <f>IF(OR(D400="",G400="",F400=0),"",D400*G400*(100/F400))</f>
      </c>
      <c r="I400" s="5"/>
    </row>
    <row r="401" spans="1:9" x14ac:dyDescent="0.25">
      <c r="A401" s="7"/>
      <c r="B401" s="8">
        <f>IF(C401="","",IF(ISNUMBER(MATCH(C401,Insumos!$A:$A,0)),"insumo",IF(ISNUMBER(MATCH(C401,Preparos!$A:$A,0)),"preparo",IF(ISNUMBER(MATCH(C401,Fichas!$A:$A,0)),"ficha",""))))</f>
      </c>
      <c r="C401" s="7"/>
      <c r="D401" s="7"/>
      <c r="E401" s="8">
        <f>IF(C401="","",IFERROR(VLOOKUP(C401,Insumos!$A:$I,9,FALSE),IFERROR(VLOOKUP(C401,Preparos!$A:$D,4,FALSE),IFERROR(IF(ISNUMBER(MATCH(C401,Fichas!$A:$A,0)),"un",""),""))))</f>
      </c>
      <c r="F401" s="8">
        <f>IF(C401="","",IFERROR(VLOOKUP(C401,Insumos!$A:$G,7,FALSE),100))</f>
      </c>
      <c r="G401" s="9">
        <f>IF(C401="","",IFERROR(VLOOKUP(C401,Insumos!$A:$J,10,FALSE),IFERROR(VLOOKUP(C401,Preparos!$A:$F,6,FALSE),IFERROR(VLOOKUP(C401,Fichas!$A:$D,4,FALSE),0))))</f>
      </c>
      <c r="H401" s="10">
        <f>IF(OR(D401="",G401="",F401=0),"",D401*G401*(100/F401))</f>
      </c>
      <c r="I401" s="5"/>
    </row>
    <row r="402" spans="1:9" x14ac:dyDescent="0.25">
      <c r="A402" s="7"/>
      <c r="B402" s="8">
        <f>IF(C402="","",IF(ISNUMBER(MATCH(C402,Insumos!$A:$A,0)),"insumo",IF(ISNUMBER(MATCH(C402,Preparos!$A:$A,0)),"preparo",IF(ISNUMBER(MATCH(C402,Fichas!$A:$A,0)),"ficha",""))))</f>
      </c>
      <c r="C402" s="7"/>
      <c r="D402" s="7"/>
      <c r="E402" s="8">
        <f>IF(C402="","",IFERROR(VLOOKUP(C402,Insumos!$A:$I,9,FALSE),IFERROR(VLOOKUP(C402,Preparos!$A:$D,4,FALSE),IFERROR(IF(ISNUMBER(MATCH(C402,Fichas!$A:$A,0)),"un",""),""))))</f>
      </c>
      <c r="F402" s="8">
        <f>IF(C402="","",IFERROR(VLOOKUP(C402,Insumos!$A:$G,7,FALSE),100))</f>
      </c>
      <c r="G402" s="9">
        <f>IF(C402="","",IFERROR(VLOOKUP(C402,Insumos!$A:$J,10,FALSE),IFERROR(VLOOKUP(C402,Preparos!$A:$F,6,FALSE),IFERROR(VLOOKUP(C402,Fichas!$A:$D,4,FALSE),0))))</f>
      </c>
      <c r="H402" s="10">
        <f>IF(OR(D402="",G402="",F402=0),"",D402*G402*(100/F402))</f>
      </c>
      <c r="I402" s="5"/>
    </row>
    <row r="403" spans="1:9" x14ac:dyDescent="0.25">
      <c r="A403" s="7"/>
      <c r="B403" s="8">
        <f>IF(C403="","",IF(ISNUMBER(MATCH(C403,Insumos!$A:$A,0)),"insumo",IF(ISNUMBER(MATCH(C403,Preparos!$A:$A,0)),"preparo",IF(ISNUMBER(MATCH(C403,Fichas!$A:$A,0)),"ficha",""))))</f>
      </c>
      <c r="C403" s="7"/>
      <c r="D403" s="7"/>
      <c r="E403" s="8">
        <f>IF(C403="","",IFERROR(VLOOKUP(C403,Insumos!$A:$I,9,FALSE),IFERROR(VLOOKUP(C403,Preparos!$A:$D,4,FALSE),IFERROR(IF(ISNUMBER(MATCH(C403,Fichas!$A:$A,0)),"un",""),""))))</f>
      </c>
      <c r="F403" s="8">
        <f>IF(C403="","",IFERROR(VLOOKUP(C403,Insumos!$A:$G,7,FALSE),100))</f>
      </c>
      <c r="G403" s="9">
        <f>IF(C403="","",IFERROR(VLOOKUP(C403,Insumos!$A:$J,10,FALSE),IFERROR(VLOOKUP(C403,Preparos!$A:$F,6,FALSE),IFERROR(VLOOKUP(C403,Fichas!$A:$D,4,FALSE),0))))</f>
      </c>
      <c r="H403" s="10">
        <f>IF(OR(D403="",G403="",F403=0),"",D403*G403*(100/F403))</f>
      </c>
      <c r="I403" s="5"/>
    </row>
    <row r="404" spans="1:9" x14ac:dyDescent="0.25">
      <c r="A404" s="7"/>
      <c r="B404" s="8">
        <f>IF(C404="","",IF(ISNUMBER(MATCH(C404,Insumos!$A:$A,0)),"insumo",IF(ISNUMBER(MATCH(C404,Preparos!$A:$A,0)),"preparo",IF(ISNUMBER(MATCH(C404,Fichas!$A:$A,0)),"ficha",""))))</f>
      </c>
      <c r="C404" s="7"/>
      <c r="D404" s="7"/>
      <c r="E404" s="8">
        <f>IF(C404="","",IFERROR(VLOOKUP(C404,Insumos!$A:$I,9,FALSE),IFERROR(VLOOKUP(C404,Preparos!$A:$D,4,FALSE),IFERROR(IF(ISNUMBER(MATCH(C404,Fichas!$A:$A,0)),"un",""),""))))</f>
      </c>
      <c r="F404" s="8">
        <f>IF(C404="","",IFERROR(VLOOKUP(C404,Insumos!$A:$G,7,FALSE),100))</f>
      </c>
      <c r="G404" s="9">
        <f>IF(C404="","",IFERROR(VLOOKUP(C404,Insumos!$A:$J,10,FALSE),IFERROR(VLOOKUP(C404,Preparos!$A:$F,6,FALSE),IFERROR(VLOOKUP(C404,Fichas!$A:$D,4,FALSE),0))))</f>
      </c>
      <c r="H404" s="10">
        <f>IF(OR(D404="",G404="",F404=0),"",D404*G404*(100/F404))</f>
      </c>
      <c r="I404" s="5"/>
    </row>
    <row r="405" spans="1:9" x14ac:dyDescent="0.25">
      <c r="A405" s="7"/>
      <c r="B405" s="8">
        <f>IF(C405="","",IF(ISNUMBER(MATCH(C405,Insumos!$A:$A,0)),"insumo",IF(ISNUMBER(MATCH(C405,Preparos!$A:$A,0)),"preparo",IF(ISNUMBER(MATCH(C405,Fichas!$A:$A,0)),"ficha",""))))</f>
      </c>
      <c r="C405" s="7"/>
      <c r="D405" s="7"/>
      <c r="E405" s="8">
        <f>IF(C405="","",IFERROR(VLOOKUP(C405,Insumos!$A:$I,9,FALSE),IFERROR(VLOOKUP(C405,Preparos!$A:$D,4,FALSE),IFERROR(IF(ISNUMBER(MATCH(C405,Fichas!$A:$A,0)),"un",""),""))))</f>
      </c>
      <c r="F405" s="8">
        <f>IF(C405="","",IFERROR(VLOOKUP(C405,Insumos!$A:$G,7,FALSE),100))</f>
      </c>
      <c r="G405" s="9">
        <f>IF(C405="","",IFERROR(VLOOKUP(C405,Insumos!$A:$J,10,FALSE),IFERROR(VLOOKUP(C405,Preparos!$A:$F,6,FALSE),IFERROR(VLOOKUP(C405,Fichas!$A:$D,4,FALSE),0))))</f>
      </c>
      <c r="H405" s="10">
        <f>IF(OR(D405="",G405="",F405=0),"",D405*G405*(100/F405))</f>
      </c>
      <c r="I405" s="5"/>
    </row>
    <row r="406" spans="1:9" x14ac:dyDescent="0.25">
      <c r="A406" s="7"/>
      <c r="B406" s="8">
        <f>IF(C406="","",IF(ISNUMBER(MATCH(C406,Insumos!$A:$A,0)),"insumo",IF(ISNUMBER(MATCH(C406,Preparos!$A:$A,0)),"preparo",IF(ISNUMBER(MATCH(C406,Fichas!$A:$A,0)),"ficha",""))))</f>
      </c>
      <c r="C406" s="7"/>
      <c r="D406" s="7"/>
      <c r="E406" s="8">
        <f>IF(C406="","",IFERROR(VLOOKUP(C406,Insumos!$A:$I,9,FALSE),IFERROR(VLOOKUP(C406,Preparos!$A:$D,4,FALSE),IFERROR(IF(ISNUMBER(MATCH(C406,Fichas!$A:$A,0)),"un",""),""))))</f>
      </c>
      <c r="F406" s="8">
        <f>IF(C406="","",IFERROR(VLOOKUP(C406,Insumos!$A:$G,7,FALSE),100))</f>
      </c>
      <c r="G406" s="9">
        <f>IF(C406="","",IFERROR(VLOOKUP(C406,Insumos!$A:$J,10,FALSE),IFERROR(VLOOKUP(C406,Preparos!$A:$F,6,FALSE),IFERROR(VLOOKUP(C406,Fichas!$A:$D,4,FALSE),0))))</f>
      </c>
      <c r="H406" s="10">
        <f>IF(OR(D406="",G406="",F406=0),"",D406*G406*(100/F406))</f>
      </c>
      <c r="I406" s="5"/>
    </row>
    <row r="407" spans="1:9" x14ac:dyDescent="0.25">
      <c r="A407" s="7"/>
      <c r="B407" s="8">
        <f>IF(C407="","",IF(ISNUMBER(MATCH(C407,Insumos!$A:$A,0)),"insumo",IF(ISNUMBER(MATCH(C407,Preparos!$A:$A,0)),"preparo",IF(ISNUMBER(MATCH(C407,Fichas!$A:$A,0)),"ficha",""))))</f>
      </c>
      <c r="C407" s="7"/>
      <c r="D407" s="7"/>
      <c r="E407" s="8">
        <f>IF(C407="","",IFERROR(VLOOKUP(C407,Insumos!$A:$I,9,FALSE),IFERROR(VLOOKUP(C407,Preparos!$A:$D,4,FALSE),IFERROR(IF(ISNUMBER(MATCH(C407,Fichas!$A:$A,0)),"un",""),""))))</f>
      </c>
      <c r="F407" s="8">
        <f>IF(C407="","",IFERROR(VLOOKUP(C407,Insumos!$A:$G,7,FALSE),100))</f>
      </c>
      <c r="G407" s="9">
        <f>IF(C407="","",IFERROR(VLOOKUP(C407,Insumos!$A:$J,10,FALSE),IFERROR(VLOOKUP(C407,Preparos!$A:$F,6,FALSE),IFERROR(VLOOKUP(C407,Fichas!$A:$D,4,FALSE),0))))</f>
      </c>
      <c r="H407" s="10">
        <f>IF(OR(D407="",G407="",F407=0),"",D407*G407*(100/F407))</f>
      </c>
      <c r="I407" s="5"/>
    </row>
    <row r="408" spans="1:9" x14ac:dyDescent="0.25">
      <c r="A408" s="7"/>
      <c r="B408" s="8">
        <f>IF(C408="","",IF(ISNUMBER(MATCH(C408,Insumos!$A:$A,0)),"insumo",IF(ISNUMBER(MATCH(C408,Preparos!$A:$A,0)),"preparo",IF(ISNUMBER(MATCH(C408,Fichas!$A:$A,0)),"ficha",""))))</f>
      </c>
      <c r="C408" s="7"/>
      <c r="D408" s="7"/>
      <c r="E408" s="8">
        <f>IF(C408="","",IFERROR(VLOOKUP(C408,Insumos!$A:$I,9,FALSE),IFERROR(VLOOKUP(C408,Preparos!$A:$D,4,FALSE),IFERROR(IF(ISNUMBER(MATCH(C408,Fichas!$A:$A,0)),"un",""),""))))</f>
      </c>
      <c r="F408" s="8">
        <f>IF(C408="","",IFERROR(VLOOKUP(C408,Insumos!$A:$G,7,FALSE),100))</f>
      </c>
      <c r="G408" s="9">
        <f>IF(C408="","",IFERROR(VLOOKUP(C408,Insumos!$A:$J,10,FALSE),IFERROR(VLOOKUP(C408,Preparos!$A:$F,6,FALSE),IFERROR(VLOOKUP(C408,Fichas!$A:$D,4,FALSE),0))))</f>
      </c>
      <c r="H408" s="10">
        <f>IF(OR(D408="",G408="",F408=0),"",D408*G408*(100/F408))</f>
      </c>
      <c r="I408" s="5"/>
    </row>
    <row r="409" spans="1:9" x14ac:dyDescent="0.25">
      <c r="A409" s="7"/>
      <c r="B409" s="8">
        <f>IF(C409="","",IF(ISNUMBER(MATCH(C409,Insumos!$A:$A,0)),"insumo",IF(ISNUMBER(MATCH(C409,Preparos!$A:$A,0)),"preparo",IF(ISNUMBER(MATCH(C409,Fichas!$A:$A,0)),"ficha",""))))</f>
      </c>
      <c r="C409" s="7"/>
      <c r="D409" s="7"/>
      <c r="E409" s="8">
        <f>IF(C409="","",IFERROR(VLOOKUP(C409,Insumos!$A:$I,9,FALSE),IFERROR(VLOOKUP(C409,Preparos!$A:$D,4,FALSE),IFERROR(IF(ISNUMBER(MATCH(C409,Fichas!$A:$A,0)),"un",""),""))))</f>
      </c>
      <c r="F409" s="8">
        <f>IF(C409="","",IFERROR(VLOOKUP(C409,Insumos!$A:$G,7,FALSE),100))</f>
      </c>
      <c r="G409" s="9">
        <f>IF(C409="","",IFERROR(VLOOKUP(C409,Insumos!$A:$J,10,FALSE),IFERROR(VLOOKUP(C409,Preparos!$A:$F,6,FALSE),IFERROR(VLOOKUP(C409,Fichas!$A:$D,4,FALSE),0))))</f>
      </c>
      <c r="H409" s="10">
        <f>IF(OR(D409="",G409="",F409=0),"",D409*G409*(100/F409))</f>
      </c>
      <c r="I409" s="5"/>
    </row>
    <row r="410" spans="1:9" x14ac:dyDescent="0.25">
      <c r="A410" s="7"/>
      <c r="B410" s="8">
        <f>IF(C410="","",IF(ISNUMBER(MATCH(C410,Insumos!$A:$A,0)),"insumo",IF(ISNUMBER(MATCH(C410,Preparos!$A:$A,0)),"preparo",IF(ISNUMBER(MATCH(C410,Fichas!$A:$A,0)),"ficha",""))))</f>
      </c>
      <c r="C410" s="7"/>
      <c r="D410" s="7"/>
      <c r="E410" s="8">
        <f>IF(C410="","",IFERROR(VLOOKUP(C410,Insumos!$A:$I,9,FALSE),IFERROR(VLOOKUP(C410,Preparos!$A:$D,4,FALSE),IFERROR(IF(ISNUMBER(MATCH(C410,Fichas!$A:$A,0)),"un",""),""))))</f>
      </c>
      <c r="F410" s="8">
        <f>IF(C410="","",IFERROR(VLOOKUP(C410,Insumos!$A:$G,7,FALSE),100))</f>
      </c>
      <c r="G410" s="9">
        <f>IF(C410="","",IFERROR(VLOOKUP(C410,Insumos!$A:$J,10,FALSE),IFERROR(VLOOKUP(C410,Preparos!$A:$F,6,FALSE),IFERROR(VLOOKUP(C410,Fichas!$A:$D,4,FALSE),0))))</f>
      </c>
      <c r="H410" s="10">
        <f>IF(OR(D410="",G410="",F410=0),"",D410*G410*(100/F410))</f>
      </c>
      <c r="I410" s="5"/>
    </row>
    <row r="411" spans="1:9" x14ac:dyDescent="0.25">
      <c r="A411" s="7"/>
      <c r="B411" s="8">
        <f>IF(C411="","",IF(ISNUMBER(MATCH(C411,Insumos!$A:$A,0)),"insumo",IF(ISNUMBER(MATCH(C411,Preparos!$A:$A,0)),"preparo",IF(ISNUMBER(MATCH(C411,Fichas!$A:$A,0)),"ficha",""))))</f>
      </c>
      <c r="C411" s="7"/>
      <c r="D411" s="7"/>
      <c r="E411" s="8">
        <f>IF(C411="","",IFERROR(VLOOKUP(C411,Insumos!$A:$I,9,FALSE),IFERROR(VLOOKUP(C411,Preparos!$A:$D,4,FALSE),IFERROR(IF(ISNUMBER(MATCH(C411,Fichas!$A:$A,0)),"un",""),""))))</f>
      </c>
      <c r="F411" s="8">
        <f>IF(C411="","",IFERROR(VLOOKUP(C411,Insumos!$A:$G,7,FALSE),100))</f>
      </c>
      <c r="G411" s="9">
        <f>IF(C411="","",IFERROR(VLOOKUP(C411,Insumos!$A:$J,10,FALSE),IFERROR(VLOOKUP(C411,Preparos!$A:$F,6,FALSE),IFERROR(VLOOKUP(C411,Fichas!$A:$D,4,FALSE),0))))</f>
      </c>
      <c r="H411" s="10">
        <f>IF(OR(D411="",G411="",F411=0),"",D411*G411*(100/F411))</f>
      </c>
      <c r="I411" s="5"/>
    </row>
    <row r="412" spans="1:9" x14ac:dyDescent="0.25">
      <c r="A412" s="7"/>
      <c r="B412" s="8">
        <f>IF(C412="","",IF(ISNUMBER(MATCH(C412,Insumos!$A:$A,0)),"insumo",IF(ISNUMBER(MATCH(C412,Preparos!$A:$A,0)),"preparo",IF(ISNUMBER(MATCH(C412,Fichas!$A:$A,0)),"ficha",""))))</f>
      </c>
      <c r="C412" s="7"/>
      <c r="D412" s="7"/>
      <c r="E412" s="8">
        <f>IF(C412="","",IFERROR(VLOOKUP(C412,Insumos!$A:$I,9,FALSE),IFERROR(VLOOKUP(C412,Preparos!$A:$D,4,FALSE),IFERROR(IF(ISNUMBER(MATCH(C412,Fichas!$A:$A,0)),"un",""),""))))</f>
      </c>
      <c r="F412" s="8">
        <f>IF(C412="","",IFERROR(VLOOKUP(C412,Insumos!$A:$G,7,FALSE),100))</f>
      </c>
      <c r="G412" s="9">
        <f>IF(C412="","",IFERROR(VLOOKUP(C412,Insumos!$A:$J,10,FALSE),IFERROR(VLOOKUP(C412,Preparos!$A:$F,6,FALSE),IFERROR(VLOOKUP(C412,Fichas!$A:$D,4,FALSE),0))))</f>
      </c>
      <c r="H412" s="10">
        <f>IF(OR(D412="",G412="",F412=0),"",D412*G412*(100/F412))</f>
      </c>
      <c r="I412" s="5"/>
    </row>
    <row r="413" spans="1:9" x14ac:dyDescent="0.25">
      <c r="A413" s="7"/>
      <c r="B413" s="8">
        <f>IF(C413="","",IF(ISNUMBER(MATCH(C413,Insumos!$A:$A,0)),"insumo",IF(ISNUMBER(MATCH(C413,Preparos!$A:$A,0)),"preparo",IF(ISNUMBER(MATCH(C413,Fichas!$A:$A,0)),"ficha",""))))</f>
      </c>
      <c r="C413" s="7"/>
      <c r="D413" s="7"/>
      <c r="E413" s="8">
        <f>IF(C413="","",IFERROR(VLOOKUP(C413,Insumos!$A:$I,9,FALSE),IFERROR(VLOOKUP(C413,Preparos!$A:$D,4,FALSE),IFERROR(IF(ISNUMBER(MATCH(C413,Fichas!$A:$A,0)),"un",""),""))))</f>
      </c>
      <c r="F413" s="8">
        <f>IF(C413="","",IFERROR(VLOOKUP(C413,Insumos!$A:$G,7,FALSE),100))</f>
      </c>
      <c r="G413" s="9">
        <f>IF(C413="","",IFERROR(VLOOKUP(C413,Insumos!$A:$J,10,FALSE),IFERROR(VLOOKUP(C413,Preparos!$A:$F,6,FALSE),IFERROR(VLOOKUP(C413,Fichas!$A:$D,4,FALSE),0))))</f>
      </c>
      <c r="H413" s="10">
        <f>IF(OR(D413="",G413="",F413=0),"",D413*G413*(100/F413))</f>
      </c>
      <c r="I413" s="5"/>
    </row>
    <row r="414" spans="1:9" x14ac:dyDescent="0.25">
      <c r="A414" s="7"/>
      <c r="B414" s="8">
        <f>IF(C414="","",IF(ISNUMBER(MATCH(C414,Insumos!$A:$A,0)),"insumo",IF(ISNUMBER(MATCH(C414,Preparos!$A:$A,0)),"preparo",IF(ISNUMBER(MATCH(C414,Fichas!$A:$A,0)),"ficha",""))))</f>
      </c>
      <c r="C414" s="7"/>
      <c r="D414" s="7"/>
      <c r="E414" s="8">
        <f>IF(C414="","",IFERROR(VLOOKUP(C414,Insumos!$A:$I,9,FALSE),IFERROR(VLOOKUP(C414,Preparos!$A:$D,4,FALSE),IFERROR(IF(ISNUMBER(MATCH(C414,Fichas!$A:$A,0)),"un",""),""))))</f>
      </c>
      <c r="F414" s="8">
        <f>IF(C414="","",IFERROR(VLOOKUP(C414,Insumos!$A:$G,7,FALSE),100))</f>
      </c>
      <c r="G414" s="9">
        <f>IF(C414="","",IFERROR(VLOOKUP(C414,Insumos!$A:$J,10,FALSE),IFERROR(VLOOKUP(C414,Preparos!$A:$F,6,FALSE),IFERROR(VLOOKUP(C414,Fichas!$A:$D,4,FALSE),0))))</f>
      </c>
      <c r="H414" s="10">
        <f>IF(OR(D414="",G414="",F414=0),"",D414*G414*(100/F414))</f>
      </c>
      <c r="I414" s="5"/>
    </row>
    <row r="415" spans="1:9" x14ac:dyDescent="0.25">
      <c r="A415" s="7"/>
      <c r="B415" s="8">
        <f>IF(C415="","",IF(ISNUMBER(MATCH(C415,Insumos!$A:$A,0)),"insumo",IF(ISNUMBER(MATCH(C415,Preparos!$A:$A,0)),"preparo",IF(ISNUMBER(MATCH(C415,Fichas!$A:$A,0)),"ficha",""))))</f>
      </c>
      <c r="C415" s="7"/>
      <c r="D415" s="7"/>
      <c r="E415" s="8">
        <f>IF(C415="","",IFERROR(VLOOKUP(C415,Insumos!$A:$I,9,FALSE),IFERROR(VLOOKUP(C415,Preparos!$A:$D,4,FALSE),IFERROR(IF(ISNUMBER(MATCH(C415,Fichas!$A:$A,0)),"un",""),""))))</f>
      </c>
      <c r="F415" s="8">
        <f>IF(C415="","",IFERROR(VLOOKUP(C415,Insumos!$A:$G,7,FALSE),100))</f>
      </c>
      <c r="G415" s="9">
        <f>IF(C415="","",IFERROR(VLOOKUP(C415,Insumos!$A:$J,10,FALSE),IFERROR(VLOOKUP(C415,Preparos!$A:$F,6,FALSE),IFERROR(VLOOKUP(C415,Fichas!$A:$D,4,FALSE),0))))</f>
      </c>
      <c r="H415" s="10">
        <f>IF(OR(D415="",G415="",F415=0),"",D415*G415*(100/F415))</f>
      </c>
      <c r="I415" s="5"/>
    </row>
    <row r="416" spans="1:9" x14ac:dyDescent="0.25">
      <c r="A416" s="7"/>
      <c r="B416" s="8">
        <f>IF(C416="","",IF(ISNUMBER(MATCH(C416,Insumos!$A:$A,0)),"insumo",IF(ISNUMBER(MATCH(C416,Preparos!$A:$A,0)),"preparo",IF(ISNUMBER(MATCH(C416,Fichas!$A:$A,0)),"ficha",""))))</f>
      </c>
      <c r="C416" s="7"/>
      <c r="D416" s="7"/>
      <c r="E416" s="8">
        <f>IF(C416="","",IFERROR(VLOOKUP(C416,Insumos!$A:$I,9,FALSE),IFERROR(VLOOKUP(C416,Preparos!$A:$D,4,FALSE),IFERROR(IF(ISNUMBER(MATCH(C416,Fichas!$A:$A,0)),"un",""),""))))</f>
      </c>
      <c r="F416" s="8">
        <f>IF(C416="","",IFERROR(VLOOKUP(C416,Insumos!$A:$G,7,FALSE),100))</f>
      </c>
      <c r="G416" s="9">
        <f>IF(C416="","",IFERROR(VLOOKUP(C416,Insumos!$A:$J,10,FALSE),IFERROR(VLOOKUP(C416,Preparos!$A:$F,6,FALSE),IFERROR(VLOOKUP(C416,Fichas!$A:$D,4,FALSE),0))))</f>
      </c>
      <c r="H416" s="10">
        <f>IF(OR(D416="",G416="",F416=0),"",D416*G416*(100/F416))</f>
      </c>
      <c r="I416" s="5"/>
    </row>
    <row r="417" spans="1:9" x14ac:dyDescent="0.25">
      <c r="A417" s="7"/>
      <c r="B417" s="8">
        <f>IF(C417="","",IF(ISNUMBER(MATCH(C417,Insumos!$A:$A,0)),"insumo",IF(ISNUMBER(MATCH(C417,Preparos!$A:$A,0)),"preparo",IF(ISNUMBER(MATCH(C417,Fichas!$A:$A,0)),"ficha",""))))</f>
      </c>
      <c r="C417" s="7"/>
      <c r="D417" s="7"/>
      <c r="E417" s="8">
        <f>IF(C417="","",IFERROR(VLOOKUP(C417,Insumos!$A:$I,9,FALSE),IFERROR(VLOOKUP(C417,Preparos!$A:$D,4,FALSE),IFERROR(IF(ISNUMBER(MATCH(C417,Fichas!$A:$A,0)),"un",""),""))))</f>
      </c>
      <c r="F417" s="8">
        <f>IF(C417="","",IFERROR(VLOOKUP(C417,Insumos!$A:$G,7,FALSE),100))</f>
      </c>
      <c r="G417" s="9">
        <f>IF(C417="","",IFERROR(VLOOKUP(C417,Insumos!$A:$J,10,FALSE),IFERROR(VLOOKUP(C417,Preparos!$A:$F,6,FALSE),IFERROR(VLOOKUP(C417,Fichas!$A:$D,4,FALSE),0))))</f>
      </c>
      <c r="H417" s="10">
        <f>IF(OR(D417="",G417="",F417=0),"",D417*G417*(100/F417))</f>
      </c>
      <c r="I417" s="5"/>
    </row>
    <row r="418" spans="1:9" x14ac:dyDescent="0.25">
      <c r="A418" s="7"/>
      <c r="B418" s="8">
        <f>IF(C418="","",IF(ISNUMBER(MATCH(C418,Insumos!$A:$A,0)),"insumo",IF(ISNUMBER(MATCH(C418,Preparos!$A:$A,0)),"preparo",IF(ISNUMBER(MATCH(C418,Fichas!$A:$A,0)),"ficha",""))))</f>
      </c>
      <c r="C418" s="7"/>
      <c r="D418" s="7"/>
      <c r="E418" s="8">
        <f>IF(C418="","",IFERROR(VLOOKUP(C418,Insumos!$A:$I,9,FALSE),IFERROR(VLOOKUP(C418,Preparos!$A:$D,4,FALSE),IFERROR(IF(ISNUMBER(MATCH(C418,Fichas!$A:$A,0)),"un",""),""))))</f>
      </c>
      <c r="F418" s="8">
        <f>IF(C418="","",IFERROR(VLOOKUP(C418,Insumos!$A:$G,7,FALSE),100))</f>
      </c>
      <c r="G418" s="9">
        <f>IF(C418="","",IFERROR(VLOOKUP(C418,Insumos!$A:$J,10,FALSE),IFERROR(VLOOKUP(C418,Preparos!$A:$F,6,FALSE),IFERROR(VLOOKUP(C418,Fichas!$A:$D,4,FALSE),0))))</f>
      </c>
      <c r="H418" s="10">
        <f>IF(OR(D418="",G418="",F418=0),"",D418*G418*(100/F418))</f>
      </c>
      <c r="I418" s="5"/>
    </row>
    <row r="419" spans="1:9" x14ac:dyDescent="0.25">
      <c r="A419" s="7"/>
      <c r="B419" s="8">
        <f>IF(C419="","",IF(ISNUMBER(MATCH(C419,Insumos!$A:$A,0)),"insumo",IF(ISNUMBER(MATCH(C419,Preparos!$A:$A,0)),"preparo",IF(ISNUMBER(MATCH(C419,Fichas!$A:$A,0)),"ficha",""))))</f>
      </c>
      <c r="C419" s="7"/>
      <c r="D419" s="7"/>
      <c r="E419" s="8">
        <f>IF(C419="","",IFERROR(VLOOKUP(C419,Insumos!$A:$I,9,FALSE),IFERROR(VLOOKUP(C419,Preparos!$A:$D,4,FALSE),IFERROR(IF(ISNUMBER(MATCH(C419,Fichas!$A:$A,0)),"un",""),""))))</f>
      </c>
      <c r="F419" s="8">
        <f>IF(C419="","",IFERROR(VLOOKUP(C419,Insumos!$A:$G,7,FALSE),100))</f>
      </c>
      <c r="G419" s="9">
        <f>IF(C419="","",IFERROR(VLOOKUP(C419,Insumos!$A:$J,10,FALSE),IFERROR(VLOOKUP(C419,Preparos!$A:$F,6,FALSE),IFERROR(VLOOKUP(C419,Fichas!$A:$D,4,FALSE),0))))</f>
      </c>
      <c r="H419" s="10">
        <f>IF(OR(D419="",G419="",F419=0),"",D419*G419*(100/F419))</f>
      </c>
      <c r="I419" s="5"/>
    </row>
    <row r="420" spans="1:9" x14ac:dyDescent="0.25">
      <c r="A420" s="7"/>
      <c r="B420" s="8">
        <f>IF(C420="","",IF(ISNUMBER(MATCH(C420,Insumos!$A:$A,0)),"insumo",IF(ISNUMBER(MATCH(C420,Preparos!$A:$A,0)),"preparo",IF(ISNUMBER(MATCH(C420,Fichas!$A:$A,0)),"ficha",""))))</f>
      </c>
      <c r="C420" s="7"/>
      <c r="D420" s="7"/>
      <c r="E420" s="8">
        <f>IF(C420="","",IFERROR(VLOOKUP(C420,Insumos!$A:$I,9,FALSE),IFERROR(VLOOKUP(C420,Preparos!$A:$D,4,FALSE),IFERROR(IF(ISNUMBER(MATCH(C420,Fichas!$A:$A,0)),"un",""),""))))</f>
      </c>
      <c r="F420" s="8">
        <f>IF(C420="","",IFERROR(VLOOKUP(C420,Insumos!$A:$G,7,FALSE),100))</f>
      </c>
      <c r="G420" s="9">
        <f>IF(C420="","",IFERROR(VLOOKUP(C420,Insumos!$A:$J,10,FALSE),IFERROR(VLOOKUP(C420,Preparos!$A:$F,6,FALSE),IFERROR(VLOOKUP(C420,Fichas!$A:$D,4,FALSE),0))))</f>
      </c>
      <c r="H420" s="10">
        <f>IF(OR(D420="",G420="",F420=0),"",D420*G420*(100/F420))</f>
      </c>
      <c r="I420" s="5"/>
    </row>
    <row r="421" spans="1:9" x14ac:dyDescent="0.25">
      <c r="A421" s="7"/>
      <c r="B421" s="8">
        <f>IF(C421="","",IF(ISNUMBER(MATCH(C421,Insumos!$A:$A,0)),"insumo",IF(ISNUMBER(MATCH(C421,Preparos!$A:$A,0)),"preparo",IF(ISNUMBER(MATCH(C421,Fichas!$A:$A,0)),"ficha",""))))</f>
      </c>
      <c r="C421" s="7"/>
      <c r="D421" s="7"/>
      <c r="E421" s="8">
        <f>IF(C421="","",IFERROR(VLOOKUP(C421,Insumos!$A:$I,9,FALSE),IFERROR(VLOOKUP(C421,Preparos!$A:$D,4,FALSE),IFERROR(IF(ISNUMBER(MATCH(C421,Fichas!$A:$A,0)),"un",""),""))))</f>
      </c>
      <c r="F421" s="8">
        <f>IF(C421="","",IFERROR(VLOOKUP(C421,Insumos!$A:$G,7,FALSE),100))</f>
      </c>
      <c r="G421" s="9">
        <f>IF(C421="","",IFERROR(VLOOKUP(C421,Insumos!$A:$J,10,FALSE),IFERROR(VLOOKUP(C421,Preparos!$A:$F,6,FALSE),IFERROR(VLOOKUP(C421,Fichas!$A:$D,4,FALSE),0))))</f>
      </c>
      <c r="H421" s="10">
        <f>IF(OR(D421="",G421="",F421=0),"",D421*G421*(100/F421))</f>
      </c>
      <c r="I421" s="5"/>
    </row>
    <row r="422" spans="1:9" x14ac:dyDescent="0.25">
      <c r="A422" s="7"/>
      <c r="B422" s="8">
        <f>IF(C422="","",IF(ISNUMBER(MATCH(C422,Insumos!$A:$A,0)),"insumo",IF(ISNUMBER(MATCH(C422,Preparos!$A:$A,0)),"preparo",IF(ISNUMBER(MATCH(C422,Fichas!$A:$A,0)),"ficha",""))))</f>
      </c>
      <c r="C422" s="7"/>
      <c r="D422" s="7"/>
      <c r="E422" s="8">
        <f>IF(C422="","",IFERROR(VLOOKUP(C422,Insumos!$A:$I,9,FALSE),IFERROR(VLOOKUP(C422,Preparos!$A:$D,4,FALSE),IFERROR(IF(ISNUMBER(MATCH(C422,Fichas!$A:$A,0)),"un",""),""))))</f>
      </c>
      <c r="F422" s="8">
        <f>IF(C422="","",IFERROR(VLOOKUP(C422,Insumos!$A:$G,7,FALSE),100))</f>
      </c>
      <c r="G422" s="9">
        <f>IF(C422="","",IFERROR(VLOOKUP(C422,Insumos!$A:$J,10,FALSE),IFERROR(VLOOKUP(C422,Preparos!$A:$F,6,FALSE),IFERROR(VLOOKUP(C422,Fichas!$A:$D,4,FALSE),0))))</f>
      </c>
      <c r="H422" s="10">
        <f>IF(OR(D422="",G422="",F422=0),"",D422*G422*(100/F422))</f>
      </c>
      <c r="I422" s="5"/>
    </row>
    <row r="423" spans="1:9" x14ac:dyDescent="0.25">
      <c r="A423" s="7"/>
      <c r="B423" s="8">
        <f>IF(C423="","",IF(ISNUMBER(MATCH(C423,Insumos!$A:$A,0)),"insumo",IF(ISNUMBER(MATCH(C423,Preparos!$A:$A,0)),"preparo",IF(ISNUMBER(MATCH(C423,Fichas!$A:$A,0)),"ficha",""))))</f>
      </c>
      <c r="C423" s="7"/>
      <c r="D423" s="7"/>
      <c r="E423" s="8">
        <f>IF(C423="","",IFERROR(VLOOKUP(C423,Insumos!$A:$I,9,FALSE),IFERROR(VLOOKUP(C423,Preparos!$A:$D,4,FALSE),IFERROR(IF(ISNUMBER(MATCH(C423,Fichas!$A:$A,0)),"un",""),""))))</f>
      </c>
      <c r="F423" s="8">
        <f>IF(C423="","",IFERROR(VLOOKUP(C423,Insumos!$A:$G,7,FALSE),100))</f>
      </c>
      <c r="G423" s="9">
        <f>IF(C423="","",IFERROR(VLOOKUP(C423,Insumos!$A:$J,10,FALSE),IFERROR(VLOOKUP(C423,Preparos!$A:$F,6,FALSE),IFERROR(VLOOKUP(C423,Fichas!$A:$D,4,FALSE),0))))</f>
      </c>
      <c r="H423" s="10">
        <f>IF(OR(D423="",G423="",F423=0),"",D423*G423*(100/F423))</f>
      </c>
      <c r="I423" s="5"/>
    </row>
    <row r="424" spans="1:9" x14ac:dyDescent="0.25">
      <c r="A424" s="7"/>
      <c r="B424" s="8">
        <f>IF(C424="","",IF(ISNUMBER(MATCH(C424,Insumos!$A:$A,0)),"insumo",IF(ISNUMBER(MATCH(C424,Preparos!$A:$A,0)),"preparo",IF(ISNUMBER(MATCH(C424,Fichas!$A:$A,0)),"ficha",""))))</f>
      </c>
      <c r="C424" s="7"/>
      <c r="D424" s="7"/>
      <c r="E424" s="8">
        <f>IF(C424="","",IFERROR(VLOOKUP(C424,Insumos!$A:$I,9,FALSE),IFERROR(VLOOKUP(C424,Preparos!$A:$D,4,FALSE),IFERROR(IF(ISNUMBER(MATCH(C424,Fichas!$A:$A,0)),"un",""),""))))</f>
      </c>
      <c r="F424" s="8">
        <f>IF(C424="","",IFERROR(VLOOKUP(C424,Insumos!$A:$G,7,FALSE),100))</f>
      </c>
      <c r="G424" s="9">
        <f>IF(C424="","",IFERROR(VLOOKUP(C424,Insumos!$A:$J,10,FALSE),IFERROR(VLOOKUP(C424,Preparos!$A:$F,6,FALSE),IFERROR(VLOOKUP(C424,Fichas!$A:$D,4,FALSE),0))))</f>
      </c>
      <c r="H424" s="10">
        <f>IF(OR(D424="",G424="",F424=0),"",D424*G424*(100/F424))</f>
      </c>
      <c r="I424" s="5"/>
    </row>
    <row r="425" spans="1:9" x14ac:dyDescent="0.25">
      <c r="A425" s="7"/>
      <c r="B425" s="8">
        <f>IF(C425="","",IF(ISNUMBER(MATCH(C425,Insumos!$A:$A,0)),"insumo",IF(ISNUMBER(MATCH(C425,Preparos!$A:$A,0)),"preparo",IF(ISNUMBER(MATCH(C425,Fichas!$A:$A,0)),"ficha",""))))</f>
      </c>
      <c r="C425" s="7"/>
      <c r="D425" s="7"/>
      <c r="E425" s="8">
        <f>IF(C425="","",IFERROR(VLOOKUP(C425,Insumos!$A:$I,9,FALSE),IFERROR(VLOOKUP(C425,Preparos!$A:$D,4,FALSE),IFERROR(IF(ISNUMBER(MATCH(C425,Fichas!$A:$A,0)),"un",""),""))))</f>
      </c>
      <c r="F425" s="8">
        <f>IF(C425="","",IFERROR(VLOOKUP(C425,Insumos!$A:$G,7,FALSE),100))</f>
      </c>
      <c r="G425" s="9">
        <f>IF(C425="","",IFERROR(VLOOKUP(C425,Insumos!$A:$J,10,FALSE),IFERROR(VLOOKUP(C425,Preparos!$A:$F,6,FALSE),IFERROR(VLOOKUP(C425,Fichas!$A:$D,4,FALSE),0))))</f>
      </c>
      <c r="H425" s="10">
        <f>IF(OR(D425="",G425="",F425=0),"",D425*G425*(100/F425))</f>
      </c>
      <c r="I425" s="5"/>
    </row>
    <row r="426" spans="1:9" x14ac:dyDescent="0.25">
      <c r="A426" s="7"/>
      <c r="B426" s="8">
        <f>IF(C426="","",IF(ISNUMBER(MATCH(C426,Insumos!$A:$A,0)),"insumo",IF(ISNUMBER(MATCH(C426,Preparos!$A:$A,0)),"preparo",IF(ISNUMBER(MATCH(C426,Fichas!$A:$A,0)),"ficha",""))))</f>
      </c>
      <c r="C426" s="7"/>
      <c r="D426" s="7"/>
      <c r="E426" s="8">
        <f>IF(C426="","",IFERROR(VLOOKUP(C426,Insumos!$A:$I,9,FALSE),IFERROR(VLOOKUP(C426,Preparos!$A:$D,4,FALSE),IFERROR(IF(ISNUMBER(MATCH(C426,Fichas!$A:$A,0)),"un",""),""))))</f>
      </c>
      <c r="F426" s="8">
        <f>IF(C426="","",IFERROR(VLOOKUP(C426,Insumos!$A:$G,7,FALSE),100))</f>
      </c>
      <c r="G426" s="9">
        <f>IF(C426="","",IFERROR(VLOOKUP(C426,Insumos!$A:$J,10,FALSE),IFERROR(VLOOKUP(C426,Preparos!$A:$F,6,FALSE),IFERROR(VLOOKUP(C426,Fichas!$A:$D,4,FALSE),0))))</f>
      </c>
      <c r="H426" s="10">
        <f>IF(OR(D426="",G426="",F426=0),"",D426*G426*(100/F426))</f>
      </c>
      <c r="I426" s="5"/>
    </row>
    <row r="427" spans="1:9" x14ac:dyDescent="0.25">
      <c r="A427" s="7"/>
      <c r="B427" s="8">
        <f>IF(C427="","",IF(ISNUMBER(MATCH(C427,Insumos!$A:$A,0)),"insumo",IF(ISNUMBER(MATCH(C427,Preparos!$A:$A,0)),"preparo",IF(ISNUMBER(MATCH(C427,Fichas!$A:$A,0)),"ficha",""))))</f>
      </c>
      <c r="C427" s="7"/>
      <c r="D427" s="7"/>
      <c r="E427" s="8">
        <f>IF(C427="","",IFERROR(VLOOKUP(C427,Insumos!$A:$I,9,FALSE),IFERROR(VLOOKUP(C427,Preparos!$A:$D,4,FALSE),IFERROR(IF(ISNUMBER(MATCH(C427,Fichas!$A:$A,0)),"un",""),""))))</f>
      </c>
      <c r="F427" s="8">
        <f>IF(C427="","",IFERROR(VLOOKUP(C427,Insumos!$A:$G,7,FALSE),100))</f>
      </c>
      <c r="G427" s="9">
        <f>IF(C427="","",IFERROR(VLOOKUP(C427,Insumos!$A:$J,10,FALSE),IFERROR(VLOOKUP(C427,Preparos!$A:$F,6,FALSE),IFERROR(VLOOKUP(C427,Fichas!$A:$D,4,FALSE),0))))</f>
      </c>
      <c r="H427" s="10">
        <f>IF(OR(D427="",G427="",F427=0),"",D427*G427*(100/F427))</f>
      </c>
      <c r="I427" s="5"/>
    </row>
    <row r="428" spans="1:9" x14ac:dyDescent="0.25">
      <c r="A428" s="7"/>
      <c r="B428" s="8">
        <f>IF(C428="","",IF(ISNUMBER(MATCH(C428,Insumos!$A:$A,0)),"insumo",IF(ISNUMBER(MATCH(C428,Preparos!$A:$A,0)),"preparo",IF(ISNUMBER(MATCH(C428,Fichas!$A:$A,0)),"ficha",""))))</f>
      </c>
      <c r="C428" s="7"/>
      <c r="D428" s="7"/>
      <c r="E428" s="8">
        <f>IF(C428="","",IFERROR(VLOOKUP(C428,Insumos!$A:$I,9,FALSE),IFERROR(VLOOKUP(C428,Preparos!$A:$D,4,FALSE),IFERROR(IF(ISNUMBER(MATCH(C428,Fichas!$A:$A,0)),"un",""),""))))</f>
      </c>
      <c r="F428" s="8">
        <f>IF(C428="","",IFERROR(VLOOKUP(C428,Insumos!$A:$G,7,FALSE),100))</f>
      </c>
      <c r="G428" s="9">
        <f>IF(C428="","",IFERROR(VLOOKUP(C428,Insumos!$A:$J,10,FALSE),IFERROR(VLOOKUP(C428,Preparos!$A:$F,6,FALSE),IFERROR(VLOOKUP(C428,Fichas!$A:$D,4,FALSE),0))))</f>
      </c>
      <c r="H428" s="10">
        <f>IF(OR(D428="",G428="",F428=0),"",D428*G428*(100/F428))</f>
      </c>
      <c r="I428" s="5"/>
    </row>
    <row r="429" spans="1:9" x14ac:dyDescent="0.25">
      <c r="A429" s="7"/>
      <c r="B429" s="8">
        <f>IF(C429="","",IF(ISNUMBER(MATCH(C429,Insumos!$A:$A,0)),"insumo",IF(ISNUMBER(MATCH(C429,Preparos!$A:$A,0)),"preparo",IF(ISNUMBER(MATCH(C429,Fichas!$A:$A,0)),"ficha",""))))</f>
      </c>
      <c r="C429" s="7"/>
      <c r="D429" s="7"/>
      <c r="E429" s="8">
        <f>IF(C429="","",IFERROR(VLOOKUP(C429,Insumos!$A:$I,9,FALSE),IFERROR(VLOOKUP(C429,Preparos!$A:$D,4,FALSE),IFERROR(IF(ISNUMBER(MATCH(C429,Fichas!$A:$A,0)),"un",""),""))))</f>
      </c>
      <c r="F429" s="8">
        <f>IF(C429="","",IFERROR(VLOOKUP(C429,Insumos!$A:$G,7,FALSE),100))</f>
      </c>
      <c r="G429" s="9">
        <f>IF(C429="","",IFERROR(VLOOKUP(C429,Insumos!$A:$J,10,FALSE),IFERROR(VLOOKUP(C429,Preparos!$A:$F,6,FALSE),IFERROR(VLOOKUP(C429,Fichas!$A:$D,4,FALSE),0))))</f>
      </c>
      <c r="H429" s="10">
        <f>IF(OR(D429="",G429="",F429=0),"",D429*G429*(100/F429))</f>
      </c>
      <c r="I429" s="5"/>
    </row>
    <row r="430" spans="1:9" x14ac:dyDescent="0.25">
      <c r="A430" s="7"/>
      <c r="B430" s="8">
        <f>IF(C430="","",IF(ISNUMBER(MATCH(C430,Insumos!$A:$A,0)),"insumo",IF(ISNUMBER(MATCH(C430,Preparos!$A:$A,0)),"preparo",IF(ISNUMBER(MATCH(C430,Fichas!$A:$A,0)),"ficha",""))))</f>
      </c>
      <c r="C430" s="7"/>
      <c r="D430" s="7"/>
      <c r="E430" s="8">
        <f>IF(C430="","",IFERROR(VLOOKUP(C430,Insumos!$A:$I,9,FALSE),IFERROR(VLOOKUP(C430,Preparos!$A:$D,4,FALSE),IFERROR(IF(ISNUMBER(MATCH(C430,Fichas!$A:$A,0)),"un",""),""))))</f>
      </c>
      <c r="F430" s="8">
        <f>IF(C430="","",IFERROR(VLOOKUP(C430,Insumos!$A:$G,7,FALSE),100))</f>
      </c>
      <c r="G430" s="9">
        <f>IF(C430="","",IFERROR(VLOOKUP(C430,Insumos!$A:$J,10,FALSE),IFERROR(VLOOKUP(C430,Preparos!$A:$F,6,FALSE),IFERROR(VLOOKUP(C430,Fichas!$A:$D,4,FALSE),0))))</f>
      </c>
      <c r="H430" s="10">
        <f>IF(OR(D430="",G430="",F430=0),"",D430*G430*(100/F430))</f>
      </c>
      <c r="I430" s="5"/>
    </row>
    <row r="431" spans="1:9" x14ac:dyDescent="0.25">
      <c r="A431" s="7"/>
      <c r="B431" s="8">
        <f>IF(C431="","",IF(ISNUMBER(MATCH(C431,Insumos!$A:$A,0)),"insumo",IF(ISNUMBER(MATCH(C431,Preparos!$A:$A,0)),"preparo",IF(ISNUMBER(MATCH(C431,Fichas!$A:$A,0)),"ficha",""))))</f>
      </c>
      <c r="C431" s="7"/>
      <c r="D431" s="7"/>
      <c r="E431" s="8">
        <f>IF(C431="","",IFERROR(VLOOKUP(C431,Insumos!$A:$I,9,FALSE),IFERROR(VLOOKUP(C431,Preparos!$A:$D,4,FALSE),IFERROR(IF(ISNUMBER(MATCH(C431,Fichas!$A:$A,0)),"un",""),""))))</f>
      </c>
      <c r="F431" s="8">
        <f>IF(C431="","",IFERROR(VLOOKUP(C431,Insumos!$A:$G,7,FALSE),100))</f>
      </c>
      <c r="G431" s="9">
        <f>IF(C431="","",IFERROR(VLOOKUP(C431,Insumos!$A:$J,10,FALSE),IFERROR(VLOOKUP(C431,Preparos!$A:$F,6,FALSE),IFERROR(VLOOKUP(C431,Fichas!$A:$D,4,FALSE),0))))</f>
      </c>
      <c r="H431" s="10">
        <f>IF(OR(D431="",G431="",F431=0),"",D431*G431*(100/F431))</f>
      </c>
      <c r="I431" s="5"/>
    </row>
    <row r="432" spans="1:9" x14ac:dyDescent="0.25">
      <c r="A432" s="7"/>
      <c r="B432" s="8">
        <f>IF(C432="","",IF(ISNUMBER(MATCH(C432,Insumos!$A:$A,0)),"insumo",IF(ISNUMBER(MATCH(C432,Preparos!$A:$A,0)),"preparo",IF(ISNUMBER(MATCH(C432,Fichas!$A:$A,0)),"ficha",""))))</f>
      </c>
      <c r="C432" s="7"/>
      <c r="D432" s="7"/>
      <c r="E432" s="8">
        <f>IF(C432="","",IFERROR(VLOOKUP(C432,Insumos!$A:$I,9,FALSE),IFERROR(VLOOKUP(C432,Preparos!$A:$D,4,FALSE),IFERROR(IF(ISNUMBER(MATCH(C432,Fichas!$A:$A,0)),"un",""),""))))</f>
      </c>
      <c r="F432" s="8">
        <f>IF(C432="","",IFERROR(VLOOKUP(C432,Insumos!$A:$G,7,FALSE),100))</f>
      </c>
      <c r="G432" s="9">
        <f>IF(C432="","",IFERROR(VLOOKUP(C432,Insumos!$A:$J,10,FALSE),IFERROR(VLOOKUP(C432,Preparos!$A:$F,6,FALSE),IFERROR(VLOOKUP(C432,Fichas!$A:$D,4,FALSE),0))))</f>
      </c>
      <c r="H432" s="10">
        <f>IF(OR(D432="",G432="",F432=0),"",D432*G432*(100/F432))</f>
      </c>
      <c r="I432" s="5"/>
    </row>
    <row r="433" spans="1:9" x14ac:dyDescent="0.25">
      <c r="A433" s="7"/>
      <c r="B433" s="8">
        <f>IF(C433="","",IF(ISNUMBER(MATCH(C433,Insumos!$A:$A,0)),"insumo",IF(ISNUMBER(MATCH(C433,Preparos!$A:$A,0)),"preparo",IF(ISNUMBER(MATCH(C433,Fichas!$A:$A,0)),"ficha",""))))</f>
      </c>
      <c r="C433" s="7"/>
      <c r="D433" s="7"/>
      <c r="E433" s="8">
        <f>IF(C433="","",IFERROR(VLOOKUP(C433,Insumos!$A:$I,9,FALSE),IFERROR(VLOOKUP(C433,Preparos!$A:$D,4,FALSE),IFERROR(IF(ISNUMBER(MATCH(C433,Fichas!$A:$A,0)),"un",""),""))))</f>
      </c>
      <c r="F433" s="8">
        <f>IF(C433="","",IFERROR(VLOOKUP(C433,Insumos!$A:$G,7,FALSE),100))</f>
      </c>
      <c r="G433" s="9">
        <f>IF(C433="","",IFERROR(VLOOKUP(C433,Insumos!$A:$J,10,FALSE),IFERROR(VLOOKUP(C433,Preparos!$A:$F,6,FALSE),IFERROR(VLOOKUP(C433,Fichas!$A:$D,4,FALSE),0))))</f>
      </c>
      <c r="H433" s="10">
        <f>IF(OR(D433="",G433="",F433=0),"",D433*G433*(100/F433))</f>
      </c>
      <c r="I433" s="5"/>
    </row>
    <row r="434" spans="1:9" x14ac:dyDescent="0.25">
      <c r="A434" s="7"/>
      <c r="B434" s="8">
        <f>IF(C434="","",IF(ISNUMBER(MATCH(C434,Insumos!$A:$A,0)),"insumo",IF(ISNUMBER(MATCH(C434,Preparos!$A:$A,0)),"preparo",IF(ISNUMBER(MATCH(C434,Fichas!$A:$A,0)),"ficha",""))))</f>
      </c>
      <c r="C434" s="7"/>
      <c r="D434" s="7"/>
      <c r="E434" s="8">
        <f>IF(C434="","",IFERROR(VLOOKUP(C434,Insumos!$A:$I,9,FALSE),IFERROR(VLOOKUP(C434,Preparos!$A:$D,4,FALSE),IFERROR(IF(ISNUMBER(MATCH(C434,Fichas!$A:$A,0)),"un",""),""))))</f>
      </c>
      <c r="F434" s="8">
        <f>IF(C434="","",IFERROR(VLOOKUP(C434,Insumos!$A:$G,7,FALSE),100))</f>
      </c>
      <c r="G434" s="9">
        <f>IF(C434="","",IFERROR(VLOOKUP(C434,Insumos!$A:$J,10,FALSE),IFERROR(VLOOKUP(C434,Preparos!$A:$F,6,FALSE),IFERROR(VLOOKUP(C434,Fichas!$A:$D,4,FALSE),0))))</f>
      </c>
      <c r="H434" s="10">
        <f>IF(OR(D434="",G434="",F434=0),"",D434*G434*(100/F434))</f>
      </c>
      <c r="I434" s="5"/>
    </row>
    <row r="435" spans="1:9" x14ac:dyDescent="0.25">
      <c r="A435" s="7"/>
      <c r="B435" s="8">
        <f>IF(C435="","",IF(ISNUMBER(MATCH(C435,Insumos!$A:$A,0)),"insumo",IF(ISNUMBER(MATCH(C435,Preparos!$A:$A,0)),"preparo",IF(ISNUMBER(MATCH(C435,Fichas!$A:$A,0)),"ficha",""))))</f>
      </c>
      <c r="C435" s="7"/>
      <c r="D435" s="7"/>
      <c r="E435" s="8">
        <f>IF(C435="","",IFERROR(VLOOKUP(C435,Insumos!$A:$I,9,FALSE),IFERROR(VLOOKUP(C435,Preparos!$A:$D,4,FALSE),IFERROR(IF(ISNUMBER(MATCH(C435,Fichas!$A:$A,0)),"un",""),""))))</f>
      </c>
      <c r="F435" s="8">
        <f>IF(C435="","",IFERROR(VLOOKUP(C435,Insumos!$A:$G,7,FALSE),100))</f>
      </c>
      <c r="G435" s="9">
        <f>IF(C435="","",IFERROR(VLOOKUP(C435,Insumos!$A:$J,10,FALSE),IFERROR(VLOOKUP(C435,Preparos!$A:$F,6,FALSE),IFERROR(VLOOKUP(C435,Fichas!$A:$D,4,FALSE),0))))</f>
      </c>
      <c r="H435" s="10">
        <f>IF(OR(D435="",G435="",F435=0),"",D435*G435*(100/F435))</f>
      </c>
      <c r="I435" s="5"/>
    </row>
    <row r="436" spans="1:9" x14ac:dyDescent="0.25">
      <c r="A436" s="7"/>
      <c r="B436" s="8">
        <f>IF(C436="","",IF(ISNUMBER(MATCH(C436,Insumos!$A:$A,0)),"insumo",IF(ISNUMBER(MATCH(C436,Preparos!$A:$A,0)),"preparo",IF(ISNUMBER(MATCH(C436,Fichas!$A:$A,0)),"ficha",""))))</f>
      </c>
      <c r="C436" s="7"/>
      <c r="D436" s="7"/>
      <c r="E436" s="8">
        <f>IF(C436="","",IFERROR(VLOOKUP(C436,Insumos!$A:$I,9,FALSE),IFERROR(VLOOKUP(C436,Preparos!$A:$D,4,FALSE),IFERROR(IF(ISNUMBER(MATCH(C436,Fichas!$A:$A,0)),"un",""),""))))</f>
      </c>
      <c r="F436" s="8">
        <f>IF(C436="","",IFERROR(VLOOKUP(C436,Insumos!$A:$G,7,FALSE),100))</f>
      </c>
      <c r="G436" s="9">
        <f>IF(C436="","",IFERROR(VLOOKUP(C436,Insumos!$A:$J,10,FALSE),IFERROR(VLOOKUP(C436,Preparos!$A:$F,6,FALSE),IFERROR(VLOOKUP(C436,Fichas!$A:$D,4,FALSE),0))))</f>
      </c>
      <c r="H436" s="10">
        <f>IF(OR(D436="",G436="",F436=0),"",D436*G436*(100/F436))</f>
      </c>
      <c r="I436" s="5"/>
    </row>
    <row r="437" spans="1:9" x14ac:dyDescent="0.25">
      <c r="A437" s="7"/>
      <c r="B437" s="8">
        <f>IF(C437="","",IF(ISNUMBER(MATCH(C437,Insumos!$A:$A,0)),"insumo",IF(ISNUMBER(MATCH(C437,Preparos!$A:$A,0)),"preparo",IF(ISNUMBER(MATCH(C437,Fichas!$A:$A,0)),"ficha",""))))</f>
      </c>
      <c r="C437" s="7"/>
      <c r="D437" s="7"/>
      <c r="E437" s="8">
        <f>IF(C437="","",IFERROR(VLOOKUP(C437,Insumos!$A:$I,9,FALSE),IFERROR(VLOOKUP(C437,Preparos!$A:$D,4,FALSE),IFERROR(IF(ISNUMBER(MATCH(C437,Fichas!$A:$A,0)),"un",""),""))))</f>
      </c>
      <c r="F437" s="8">
        <f>IF(C437="","",IFERROR(VLOOKUP(C437,Insumos!$A:$G,7,FALSE),100))</f>
      </c>
      <c r="G437" s="9">
        <f>IF(C437="","",IFERROR(VLOOKUP(C437,Insumos!$A:$J,10,FALSE),IFERROR(VLOOKUP(C437,Preparos!$A:$F,6,FALSE),IFERROR(VLOOKUP(C437,Fichas!$A:$D,4,FALSE),0))))</f>
      </c>
      <c r="H437" s="10">
        <f>IF(OR(D437="",G437="",F437=0),"",D437*G437*(100/F437))</f>
      </c>
      <c r="I437" s="5"/>
    </row>
    <row r="438" spans="1:9" x14ac:dyDescent="0.25">
      <c r="A438" s="7"/>
      <c r="B438" s="8">
        <f>IF(C438="","",IF(ISNUMBER(MATCH(C438,Insumos!$A:$A,0)),"insumo",IF(ISNUMBER(MATCH(C438,Preparos!$A:$A,0)),"preparo",IF(ISNUMBER(MATCH(C438,Fichas!$A:$A,0)),"ficha",""))))</f>
      </c>
      <c r="C438" s="7"/>
      <c r="D438" s="7"/>
      <c r="E438" s="8">
        <f>IF(C438="","",IFERROR(VLOOKUP(C438,Insumos!$A:$I,9,FALSE),IFERROR(VLOOKUP(C438,Preparos!$A:$D,4,FALSE),IFERROR(IF(ISNUMBER(MATCH(C438,Fichas!$A:$A,0)),"un",""),""))))</f>
      </c>
      <c r="F438" s="8">
        <f>IF(C438="","",IFERROR(VLOOKUP(C438,Insumos!$A:$G,7,FALSE),100))</f>
      </c>
      <c r="G438" s="9">
        <f>IF(C438="","",IFERROR(VLOOKUP(C438,Insumos!$A:$J,10,FALSE),IFERROR(VLOOKUP(C438,Preparos!$A:$F,6,FALSE),IFERROR(VLOOKUP(C438,Fichas!$A:$D,4,FALSE),0))))</f>
      </c>
      <c r="H438" s="10">
        <f>IF(OR(D438="",G438="",F438=0),"",D438*G438*(100/F438))</f>
      </c>
      <c r="I438" s="5"/>
    </row>
    <row r="439" spans="1:9" x14ac:dyDescent="0.25">
      <c r="A439" s="7"/>
      <c r="B439" s="8">
        <f>IF(C439="","",IF(ISNUMBER(MATCH(C439,Insumos!$A:$A,0)),"insumo",IF(ISNUMBER(MATCH(C439,Preparos!$A:$A,0)),"preparo",IF(ISNUMBER(MATCH(C439,Fichas!$A:$A,0)),"ficha",""))))</f>
      </c>
      <c r="C439" s="7"/>
      <c r="D439" s="7"/>
      <c r="E439" s="8">
        <f>IF(C439="","",IFERROR(VLOOKUP(C439,Insumos!$A:$I,9,FALSE),IFERROR(VLOOKUP(C439,Preparos!$A:$D,4,FALSE),IFERROR(IF(ISNUMBER(MATCH(C439,Fichas!$A:$A,0)),"un",""),""))))</f>
      </c>
      <c r="F439" s="8">
        <f>IF(C439="","",IFERROR(VLOOKUP(C439,Insumos!$A:$G,7,FALSE),100))</f>
      </c>
      <c r="G439" s="9">
        <f>IF(C439="","",IFERROR(VLOOKUP(C439,Insumos!$A:$J,10,FALSE),IFERROR(VLOOKUP(C439,Preparos!$A:$F,6,FALSE),IFERROR(VLOOKUP(C439,Fichas!$A:$D,4,FALSE),0))))</f>
      </c>
      <c r="H439" s="10">
        <f>IF(OR(D439="",G439="",F439=0),"",D439*G439*(100/F439))</f>
      </c>
      <c r="I439" s="5"/>
    </row>
    <row r="440" spans="1:9" x14ac:dyDescent="0.25">
      <c r="A440" s="7"/>
      <c r="B440" s="8">
        <f>IF(C440="","",IF(ISNUMBER(MATCH(C440,Insumos!$A:$A,0)),"insumo",IF(ISNUMBER(MATCH(C440,Preparos!$A:$A,0)),"preparo",IF(ISNUMBER(MATCH(C440,Fichas!$A:$A,0)),"ficha",""))))</f>
      </c>
      <c r="C440" s="7"/>
      <c r="D440" s="7"/>
      <c r="E440" s="8">
        <f>IF(C440="","",IFERROR(VLOOKUP(C440,Insumos!$A:$I,9,FALSE),IFERROR(VLOOKUP(C440,Preparos!$A:$D,4,FALSE),IFERROR(IF(ISNUMBER(MATCH(C440,Fichas!$A:$A,0)),"un",""),""))))</f>
      </c>
      <c r="F440" s="8">
        <f>IF(C440="","",IFERROR(VLOOKUP(C440,Insumos!$A:$G,7,FALSE),100))</f>
      </c>
      <c r="G440" s="9">
        <f>IF(C440="","",IFERROR(VLOOKUP(C440,Insumos!$A:$J,10,FALSE),IFERROR(VLOOKUP(C440,Preparos!$A:$F,6,FALSE),IFERROR(VLOOKUP(C440,Fichas!$A:$D,4,FALSE),0))))</f>
      </c>
      <c r="H440" s="10">
        <f>IF(OR(D440="",G440="",F440=0),"",D440*G440*(100/F440))</f>
      </c>
      <c r="I440" s="5"/>
    </row>
    <row r="441" spans="1:9" x14ac:dyDescent="0.25">
      <c r="A441" s="7"/>
      <c r="B441" s="8">
        <f>IF(C441="","",IF(ISNUMBER(MATCH(C441,Insumos!$A:$A,0)),"insumo",IF(ISNUMBER(MATCH(C441,Preparos!$A:$A,0)),"preparo",IF(ISNUMBER(MATCH(C441,Fichas!$A:$A,0)),"ficha",""))))</f>
      </c>
      <c r="C441" s="7"/>
      <c r="D441" s="7"/>
      <c r="E441" s="8">
        <f>IF(C441="","",IFERROR(VLOOKUP(C441,Insumos!$A:$I,9,FALSE),IFERROR(VLOOKUP(C441,Preparos!$A:$D,4,FALSE),IFERROR(IF(ISNUMBER(MATCH(C441,Fichas!$A:$A,0)),"un",""),""))))</f>
      </c>
      <c r="F441" s="8">
        <f>IF(C441="","",IFERROR(VLOOKUP(C441,Insumos!$A:$G,7,FALSE),100))</f>
      </c>
      <c r="G441" s="9">
        <f>IF(C441="","",IFERROR(VLOOKUP(C441,Insumos!$A:$J,10,FALSE),IFERROR(VLOOKUP(C441,Preparos!$A:$F,6,FALSE),IFERROR(VLOOKUP(C441,Fichas!$A:$D,4,FALSE),0))))</f>
      </c>
      <c r="H441" s="10">
        <f>IF(OR(D441="",G441="",F441=0),"",D441*G441*(100/F441))</f>
      </c>
      <c r="I441" s="5"/>
    </row>
    <row r="442" spans="1:9" x14ac:dyDescent="0.25">
      <c r="A442" s="7"/>
      <c r="B442" s="8">
        <f>IF(C442="","",IF(ISNUMBER(MATCH(C442,Insumos!$A:$A,0)),"insumo",IF(ISNUMBER(MATCH(C442,Preparos!$A:$A,0)),"preparo",IF(ISNUMBER(MATCH(C442,Fichas!$A:$A,0)),"ficha",""))))</f>
      </c>
      <c r="C442" s="7"/>
      <c r="D442" s="7"/>
      <c r="E442" s="8">
        <f>IF(C442="","",IFERROR(VLOOKUP(C442,Insumos!$A:$I,9,FALSE),IFERROR(VLOOKUP(C442,Preparos!$A:$D,4,FALSE),IFERROR(IF(ISNUMBER(MATCH(C442,Fichas!$A:$A,0)),"un",""),""))))</f>
      </c>
      <c r="F442" s="8">
        <f>IF(C442="","",IFERROR(VLOOKUP(C442,Insumos!$A:$G,7,FALSE),100))</f>
      </c>
      <c r="G442" s="9">
        <f>IF(C442="","",IFERROR(VLOOKUP(C442,Insumos!$A:$J,10,FALSE),IFERROR(VLOOKUP(C442,Preparos!$A:$F,6,FALSE),IFERROR(VLOOKUP(C442,Fichas!$A:$D,4,FALSE),0))))</f>
      </c>
      <c r="H442" s="10">
        <f>IF(OR(D442="",G442="",F442=0),"",D442*G442*(100/F442))</f>
      </c>
      <c r="I442" s="5"/>
    </row>
    <row r="443" spans="1:9" x14ac:dyDescent="0.25">
      <c r="A443" s="7"/>
      <c r="B443" s="8">
        <f>IF(C443="","",IF(ISNUMBER(MATCH(C443,Insumos!$A:$A,0)),"insumo",IF(ISNUMBER(MATCH(C443,Preparos!$A:$A,0)),"preparo",IF(ISNUMBER(MATCH(C443,Fichas!$A:$A,0)),"ficha",""))))</f>
      </c>
      <c r="C443" s="7"/>
      <c r="D443" s="7"/>
      <c r="E443" s="8">
        <f>IF(C443="","",IFERROR(VLOOKUP(C443,Insumos!$A:$I,9,FALSE),IFERROR(VLOOKUP(C443,Preparos!$A:$D,4,FALSE),IFERROR(IF(ISNUMBER(MATCH(C443,Fichas!$A:$A,0)),"un",""),""))))</f>
      </c>
      <c r="F443" s="8">
        <f>IF(C443="","",IFERROR(VLOOKUP(C443,Insumos!$A:$G,7,FALSE),100))</f>
      </c>
      <c r="G443" s="9">
        <f>IF(C443="","",IFERROR(VLOOKUP(C443,Insumos!$A:$J,10,FALSE),IFERROR(VLOOKUP(C443,Preparos!$A:$F,6,FALSE),IFERROR(VLOOKUP(C443,Fichas!$A:$D,4,FALSE),0))))</f>
      </c>
      <c r="H443" s="10">
        <f>IF(OR(D443="",G443="",F443=0),"",D443*G443*(100/F443))</f>
      </c>
      <c r="I443" s="5"/>
    </row>
    <row r="444" spans="1:9" x14ac:dyDescent="0.25">
      <c r="A444" s="7"/>
      <c r="B444" s="8">
        <f>IF(C444="","",IF(ISNUMBER(MATCH(C444,Insumos!$A:$A,0)),"insumo",IF(ISNUMBER(MATCH(C444,Preparos!$A:$A,0)),"preparo",IF(ISNUMBER(MATCH(C444,Fichas!$A:$A,0)),"ficha",""))))</f>
      </c>
      <c r="C444" s="7"/>
      <c r="D444" s="7"/>
      <c r="E444" s="8">
        <f>IF(C444="","",IFERROR(VLOOKUP(C444,Insumos!$A:$I,9,FALSE),IFERROR(VLOOKUP(C444,Preparos!$A:$D,4,FALSE),IFERROR(IF(ISNUMBER(MATCH(C444,Fichas!$A:$A,0)),"un",""),""))))</f>
      </c>
      <c r="F444" s="8">
        <f>IF(C444="","",IFERROR(VLOOKUP(C444,Insumos!$A:$G,7,FALSE),100))</f>
      </c>
      <c r="G444" s="9">
        <f>IF(C444="","",IFERROR(VLOOKUP(C444,Insumos!$A:$J,10,FALSE),IFERROR(VLOOKUP(C444,Preparos!$A:$F,6,FALSE),IFERROR(VLOOKUP(C444,Fichas!$A:$D,4,FALSE),0))))</f>
      </c>
      <c r="H444" s="10">
        <f>IF(OR(D444="",G444="",F444=0),"",D444*G444*(100/F444))</f>
      </c>
      <c r="I444" s="5"/>
    </row>
    <row r="445" spans="1:9" x14ac:dyDescent="0.25">
      <c r="A445" s="7"/>
      <c r="B445" s="8">
        <f>IF(C445="","",IF(ISNUMBER(MATCH(C445,Insumos!$A:$A,0)),"insumo",IF(ISNUMBER(MATCH(C445,Preparos!$A:$A,0)),"preparo",IF(ISNUMBER(MATCH(C445,Fichas!$A:$A,0)),"ficha",""))))</f>
      </c>
      <c r="C445" s="7"/>
      <c r="D445" s="7"/>
      <c r="E445" s="8">
        <f>IF(C445="","",IFERROR(VLOOKUP(C445,Insumos!$A:$I,9,FALSE),IFERROR(VLOOKUP(C445,Preparos!$A:$D,4,FALSE),IFERROR(IF(ISNUMBER(MATCH(C445,Fichas!$A:$A,0)),"un",""),""))))</f>
      </c>
      <c r="F445" s="8">
        <f>IF(C445="","",IFERROR(VLOOKUP(C445,Insumos!$A:$G,7,FALSE),100))</f>
      </c>
      <c r="G445" s="9">
        <f>IF(C445="","",IFERROR(VLOOKUP(C445,Insumos!$A:$J,10,FALSE),IFERROR(VLOOKUP(C445,Preparos!$A:$F,6,FALSE),IFERROR(VLOOKUP(C445,Fichas!$A:$D,4,FALSE),0))))</f>
      </c>
      <c r="H445" s="10">
        <f>IF(OR(D445="",G445="",F445=0),"",D445*G445*(100/F445))</f>
      </c>
      <c r="I445" s="5"/>
    </row>
    <row r="446" spans="1:9" x14ac:dyDescent="0.25">
      <c r="A446" s="7"/>
      <c r="B446" s="8">
        <f>IF(C446="","",IF(ISNUMBER(MATCH(C446,Insumos!$A:$A,0)),"insumo",IF(ISNUMBER(MATCH(C446,Preparos!$A:$A,0)),"preparo",IF(ISNUMBER(MATCH(C446,Fichas!$A:$A,0)),"ficha",""))))</f>
      </c>
      <c r="C446" s="7"/>
      <c r="D446" s="7"/>
      <c r="E446" s="8">
        <f>IF(C446="","",IFERROR(VLOOKUP(C446,Insumos!$A:$I,9,FALSE),IFERROR(VLOOKUP(C446,Preparos!$A:$D,4,FALSE),IFERROR(IF(ISNUMBER(MATCH(C446,Fichas!$A:$A,0)),"un",""),""))))</f>
      </c>
      <c r="F446" s="8">
        <f>IF(C446="","",IFERROR(VLOOKUP(C446,Insumos!$A:$G,7,FALSE),100))</f>
      </c>
      <c r="G446" s="9">
        <f>IF(C446="","",IFERROR(VLOOKUP(C446,Insumos!$A:$J,10,FALSE),IFERROR(VLOOKUP(C446,Preparos!$A:$F,6,FALSE),IFERROR(VLOOKUP(C446,Fichas!$A:$D,4,FALSE),0))))</f>
      </c>
      <c r="H446" s="10">
        <f>IF(OR(D446="",G446="",F446=0),"",D446*G446*(100/F446))</f>
      </c>
      <c r="I446" s="5"/>
    </row>
    <row r="447" spans="1:9" x14ac:dyDescent="0.25">
      <c r="A447" s="7"/>
      <c r="B447" s="8">
        <f>IF(C447="","",IF(ISNUMBER(MATCH(C447,Insumos!$A:$A,0)),"insumo",IF(ISNUMBER(MATCH(C447,Preparos!$A:$A,0)),"preparo",IF(ISNUMBER(MATCH(C447,Fichas!$A:$A,0)),"ficha",""))))</f>
      </c>
      <c r="C447" s="7"/>
      <c r="D447" s="7"/>
      <c r="E447" s="8">
        <f>IF(C447="","",IFERROR(VLOOKUP(C447,Insumos!$A:$I,9,FALSE),IFERROR(VLOOKUP(C447,Preparos!$A:$D,4,FALSE),IFERROR(IF(ISNUMBER(MATCH(C447,Fichas!$A:$A,0)),"un",""),""))))</f>
      </c>
      <c r="F447" s="8">
        <f>IF(C447="","",IFERROR(VLOOKUP(C447,Insumos!$A:$G,7,FALSE),100))</f>
      </c>
      <c r="G447" s="9">
        <f>IF(C447="","",IFERROR(VLOOKUP(C447,Insumos!$A:$J,10,FALSE),IFERROR(VLOOKUP(C447,Preparos!$A:$F,6,FALSE),IFERROR(VLOOKUP(C447,Fichas!$A:$D,4,FALSE),0))))</f>
      </c>
      <c r="H447" s="10">
        <f>IF(OR(D447="",G447="",F447=0),"",D447*G447*(100/F447))</f>
      </c>
      <c r="I447" s="5"/>
    </row>
    <row r="448" spans="1:9" x14ac:dyDescent="0.25">
      <c r="A448" s="7"/>
      <c r="B448" s="8">
        <f>IF(C448="","",IF(ISNUMBER(MATCH(C448,Insumos!$A:$A,0)),"insumo",IF(ISNUMBER(MATCH(C448,Preparos!$A:$A,0)),"preparo",IF(ISNUMBER(MATCH(C448,Fichas!$A:$A,0)),"ficha",""))))</f>
      </c>
      <c r="C448" s="7"/>
      <c r="D448" s="7"/>
      <c r="E448" s="8">
        <f>IF(C448="","",IFERROR(VLOOKUP(C448,Insumos!$A:$I,9,FALSE),IFERROR(VLOOKUP(C448,Preparos!$A:$D,4,FALSE),IFERROR(IF(ISNUMBER(MATCH(C448,Fichas!$A:$A,0)),"un",""),""))))</f>
      </c>
      <c r="F448" s="8">
        <f>IF(C448="","",IFERROR(VLOOKUP(C448,Insumos!$A:$G,7,FALSE),100))</f>
      </c>
      <c r="G448" s="9">
        <f>IF(C448="","",IFERROR(VLOOKUP(C448,Insumos!$A:$J,10,FALSE),IFERROR(VLOOKUP(C448,Preparos!$A:$F,6,FALSE),IFERROR(VLOOKUP(C448,Fichas!$A:$D,4,FALSE),0))))</f>
      </c>
      <c r="H448" s="10">
        <f>IF(OR(D448="",G448="",F448=0),"",D448*G448*(100/F448))</f>
      </c>
      <c r="I448" s="5"/>
    </row>
    <row r="449" spans="1:9" x14ac:dyDescent="0.25">
      <c r="A449" s="7"/>
      <c r="B449" s="8">
        <f>IF(C449="","",IF(ISNUMBER(MATCH(C449,Insumos!$A:$A,0)),"insumo",IF(ISNUMBER(MATCH(C449,Preparos!$A:$A,0)),"preparo",IF(ISNUMBER(MATCH(C449,Fichas!$A:$A,0)),"ficha",""))))</f>
      </c>
      <c r="C449" s="7"/>
      <c r="D449" s="7"/>
      <c r="E449" s="8">
        <f>IF(C449="","",IFERROR(VLOOKUP(C449,Insumos!$A:$I,9,FALSE),IFERROR(VLOOKUP(C449,Preparos!$A:$D,4,FALSE),IFERROR(IF(ISNUMBER(MATCH(C449,Fichas!$A:$A,0)),"un",""),""))))</f>
      </c>
      <c r="F449" s="8">
        <f>IF(C449="","",IFERROR(VLOOKUP(C449,Insumos!$A:$G,7,FALSE),100))</f>
      </c>
      <c r="G449" s="9">
        <f>IF(C449="","",IFERROR(VLOOKUP(C449,Insumos!$A:$J,10,FALSE),IFERROR(VLOOKUP(C449,Preparos!$A:$F,6,FALSE),IFERROR(VLOOKUP(C449,Fichas!$A:$D,4,FALSE),0))))</f>
      </c>
      <c r="H449" s="10">
        <f>IF(OR(D449="",G449="",F449=0),"",D449*G449*(100/F449))</f>
      </c>
      <c r="I449" s="5"/>
    </row>
    <row r="450" spans="1:9" x14ac:dyDescent="0.25">
      <c r="A450" s="7"/>
      <c r="B450" s="8">
        <f>IF(C450="","",IF(ISNUMBER(MATCH(C450,Insumos!$A:$A,0)),"insumo",IF(ISNUMBER(MATCH(C450,Preparos!$A:$A,0)),"preparo",IF(ISNUMBER(MATCH(C450,Fichas!$A:$A,0)),"ficha",""))))</f>
      </c>
      <c r="C450" s="7"/>
      <c r="D450" s="7"/>
      <c r="E450" s="8">
        <f>IF(C450="","",IFERROR(VLOOKUP(C450,Insumos!$A:$I,9,FALSE),IFERROR(VLOOKUP(C450,Preparos!$A:$D,4,FALSE),IFERROR(IF(ISNUMBER(MATCH(C450,Fichas!$A:$A,0)),"un",""),""))))</f>
      </c>
      <c r="F450" s="8">
        <f>IF(C450="","",IFERROR(VLOOKUP(C450,Insumos!$A:$G,7,FALSE),100))</f>
      </c>
      <c r="G450" s="9">
        <f>IF(C450="","",IFERROR(VLOOKUP(C450,Insumos!$A:$J,10,FALSE),IFERROR(VLOOKUP(C450,Preparos!$A:$F,6,FALSE),IFERROR(VLOOKUP(C450,Fichas!$A:$D,4,FALSE),0))))</f>
      </c>
      <c r="H450" s="10">
        <f>IF(OR(D450="",G450="",F450=0),"",D450*G450*(100/F450))</f>
      </c>
      <c r="I450" s="5"/>
    </row>
    <row r="451" spans="1:9" x14ac:dyDescent="0.25">
      <c r="A451" s="7"/>
      <c r="B451" s="8">
        <f>IF(C451="","",IF(ISNUMBER(MATCH(C451,Insumos!$A:$A,0)),"insumo",IF(ISNUMBER(MATCH(C451,Preparos!$A:$A,0)),"preparo",IF(ISNUMBER(MATCH(C451,Fichas!$A:$A,0)),"ficha",""))))</f>
      </c>
      <c r="C451" s="7"/>
      <c r="D451" s="7"/>
      <c r="E451" s="8">
        <f>IF(C451="","",IFERROR(VLOOKUP(C451,Insumos!$A:$I,9,FALSE),IFERROR(VLOOKUP(C451,Preparos!$A:$D,4,FALSE),IFERROR(IF(ISNUMBER(MATCH(C451,Fichas!$A:$A,0)),"un",""),""))))</f>
      </c>
      <c r="F451" s="8">
        <f>IF(C451="","",IFERROR(VLOOKUP(C451,Insumos!$A:$G,7,FALSE),100))</f>
      </c>
      <c r="G451" s="9">
        <f>IF(C451="","",IFERROR(VLOOKUP(C451,Insumos!$A:$J,10,FALSE),IFERROR(VLOOKUP(C451,Preparos!$A:$F,6,FALSE),IFERROR(VLOOKUP(C451,Fichas!$A:$D,4,FALSE),0))))</f>
      </c>
      <c r="H451" s="10">
        <f>IF(OR(D451="",G451="",F451=0),"",D451*G451*(100/F451))</f>
      </c>
      <c r="I451" s="5"/>
    </row>
    <row r="452" spans="1:9" x14ac:dyDescent="0.25">
      <c r="A452" s="7"/>
      <c r="B452" s="8">
        <f>IF(C452="","",IF(ISNUMBER(MATCH(C452,Insumos!$A:$A,0)),"insumo",IF(ISNUMBER(MATCH(C452,Preparos!$A:$A,0)),"preparo",IF(ISNUMBER(MATCH(C452,Fichas!$A:$A,0)),"ficha",""))))</f>
      </c>
      <c r="C452" s="7"/>
      <c r="D452" s="7"/>
      <c r="E452" s="8">
        <f>IF(C452="","",IFERROR(VLOOKUP(C452,Insumos!$A:$I,9,FALSE),IFERROR(VLOOKUP(C452,Preparos!$A:$D,4,FALSE),IFERROR(IF(ISNUMBER(MATCH(C452,Fichas!$A:$A,0)),"un",""),""))))</f>
      </c>
      <c r="F452" s="8">
        <f>IF(C452="","",IFERROR(VLOOKUP(C452,Insumos!$A:$G,7,FALSE),100))</f>
      </c>
      <c r="G452" s="9">
        <f>IF(C452="","",IFERROR(VLOOKUP(C452,Insumos!$A:$J,10,FALSE),IFERROR(VLOOKUP(C452,Preparos!$A:$F,6,FALSE),IFERROR(VLOOKUP(C452,Fichas!$A:$D,4,FALSE),0))))</f>
      </c>
      <c r="H452" s="10">
        <f>IF(OR(D452="",G452="",F452=0),"",D452*G452*(100/F452))</f>
      </c>
      <c r="I452" s="5"/>
    </row>
    <row r="453" spans="1:9" x14ac:dyDescent="0.25">
      <c r="A453" s="7"/>
      <c r="B453" s="8">
        <f>IF(C453="","",IF(ISNUMBER(MATCH(C453,Insumos!$A:$A,0)),"insumo",IF(ISNUMBER(MATCH(C453,Preparos!$A:$A,0)),"preparo",IF(ISNUMBER(MATCH(C453,Fichas!$A:$A,0)),"ficha",""))))</f>
      </c>
      <c r="C453" s="7"/>
      <c r="D453" s="7"/>
      <c r="E453" s="8">
        <f>IF(C453="","",IFERROR(VLOOKUP(C453,Insumos!$A:$I,9,FALSE),IFERROR(VLOOKUP(C453,Preparos!$A:$D,4,FALSE),IFERROR(IF(ISNUMBER(MATCH(C453,Fichas!$A:$A,0)),"un",""),""))))</f>
      </c>
      <c r="F453" s="8">
        <f>IF(C453="","",IFERROR(VLOOKUP(C453,Insumos!$A:$G,7,FALSE),100))</f>
      </c>
      <c r="G453" s="9">
        <f>IF(C453="","",IFERROR(VLOOKUP(C453,Insumos!$A:$J,10,FALSE),IFERROR(VLOOKUP(C453,Preparos!$A:$F,6,FALSE),IFERROR(VLOOKUP(C453,Fichas!$A:$D,4,FALSE),0))))</f>
      </c>
      <c r="H453" s="10">
        <f>IF(OR(D453="",G453="",F453=0),"",D453*G453*(100/F453))</f>
      </c>
      <c r="I453" s="5"/>
    </row>
    <row r="454" spans="1:9" x14ac:dyDescent="0.25">
      <c r="A454" s="7"/>
      <c r="B454" s="8">
        <f>IF(C454="","",IF(ISNUMBER(MATCH(C454,Insumos!$A:$A,0)),"insumo",IF(ISNUMBER(MATCH(C454,Preparos!$A:$A,0)),"preparo",IF(ISNUMBER(MATCH(C454,Fichas!$A:$A,0)),"ficha",""))))</f>
      </c>
      <c r="C454" s="7"/>
      <c r="D454" s="7"/>
      <c r="E454" s="8">
        <f>IF(C454="","",IFERROR(VLOOKUP(C454,Insumos!$A:$I,9,FALSE),IFERROR(VLOOKUP(C454,Preparos!$A:$D,4,FALSE),IFERROR(IF(ISNUMBER(MATCH(C454,Fichas!$A:$A,0)),"un",""),""))))</f>
      </c>
      <c r="F454" s="8">
        <f>IF(C454="","",IFERROR(VLOOKUP(C454,Insumos!$A:$G,7,FALSE),100))</f>
      </c>
      <c r="G454" s="9">
        <f>IF(C454="","",IFERROR(VLOOKUP(C454,Insumos!$A:$J,10,FALSE),IFERROR(VLOOKUP(C454,Preparos!$A:$F,6,FALSE),IFERROR(VLOOKUP(C454,Fichas!$A:$D,4,FALSE),0))))</f>
      </c>
      <c r="H454" s="10">
        <f>IF(OR(D454="",G454="",F454=0),"",D454*G454*(100/F454))</f>
      </c>
      <c r="I454" s="5"/>
    </row>
    <row r="455" spans="1:9" x14ac:dyDescent="0.25">
      <c r="A455" s="7"/>
      <c r="B455" s="8">
        <f>IF(C455="","",IF(ISNUMBER(MATCH(C455,Insumos!$A:$A,0)),"insumo",IF(ISNUMBER(MATCH(C455,Preparos!$A:$A,0)),"preparo",IF(ISNUMBER(MATCH(C455,Fichas!$A:$A,0)),"ficha",""))))</f>
      </c>
      <c r="C455" s="7"/>
      <c r="D455" s="7"/>
      <c r="E455" s="8">
        <f>IF(C455="","",IFERROR(VLOOKUP(C455,Insumos!$A:$I,9,FALSE),IFERROR(VLOOKUP(C455,Preparos!$A:$D,4,FALSE),IFERROR(IF(ISNUMBER(MATCH(C455,Fichas!$A:$A,0)),"un",""),""))))</f>
      </c>
      <c r="F455" s="8">
        <f>IF(C455="","",IFERROR(VLOOKUP(C455,Insumos!$A:$G,7,FALSE),100))</f>
      </c>
      <c r="G455" s="9">
        <f>IF(C455="","",IFERROR(VLOOKUP(C455,Insumos!$A:$J,10,FALSE),IFERROR(VLOOKUP(C455,Preparos!$A:$F,6,FALSE),IFERROR(VLOOKUP(C455,Fichas!$A:$D,4,FALSE),0))))</f>
      </c>
      <c r="H455" s="10">
        <f>IF(OR(D455="",G455="",F455=0),"",D455*G455*(100/F455))</f>
      </c>
      <c r="I455" s="5"/>
    </row>
    <row r="456" spans="1:9" x14ac:dyDescent="0.25">
      <c r="A456" s="7"/>
      <c r="B456" s="8">
        <f>IF(C456="","",IF(ISNUMBER(MATCH(C456,Insumos!$A:$A,0)),"insumo",IF(ISNUMBER(MATCH(C456,Preparos!$A:$A,0)),"preparo",IF(ISNUMBER(MATCH(C456,Fichas!$A:$A,0)),"ficha",""))))</f>
      </c>
      <c r="C456" s="7"/>
      <c r="D456" s="7"/>
      <c r="E456" s="8">
        <f>IF(C456="","",IFERROR(VLOOKUP(C456,Insumos!$A:$I,9,FALSE),IFERROR(VLOOKUP(C456,Preparos!$A:$D,4,FALSE),IFERROR(IF(ISNUMBER(MATCH(C456,Fichas!$A:$A,0)),"un",""),""))))</f>
      </c>
      <c r="F456" s="8">
        <f>IF(C456="","",IFERROR(VLOOKUP(C456,Insumos!$A:$G,7,FALSE),100))</f>
      </c>
      <c r="G456" s="9">
        <f>IF(C456="","",IFERROR(VLOOKUP(C456,Insumos!$A:$J,10,FALSE),IFERROR(VLOOKUP(C456,Preparos!$A:$F,6,FALSE),IFERROR(VLOOKUP(C456,Fichas!$A:$D,4,FALSE),0))))</f>
      </c>
      <c r="H456" s="10">
        <f>IF(OR(D456="",G456="",F456=0),"",D456*G456*(100/F456))</f>
      </c>
      <c r="I456" s="5"/>
    </row>
    <row r="457" spans="1:9" x14ac:dyDescent="0.25">
      <c r="A457" s="7"/>
      <c r="B457" s="8">
        <f>IF(C457="","",IF(ISNUMBER(MATCH(C457,Insumos!$A:$A,0)),"insumo",IF(ISNUMBER(MATCH(C457,Preparos!$A:$A,0)),"preparo",IF(ISNUMBER(MATCH(C457,Fichas!$A:$A,0)),"ficha",""))))</f>
      </c>
      <c r="C457" s="7"/>
      <c r="D457" s="7"/>
      <c r="E457" s="8">
        <f>IF(C457="","",IFERROR(VLOOKUP(C457,Insumos!$A:$I,9,FALSE),IFERROR(VLOOKUP(C457,Preparos!$A:$D,4,FALSE),IFERROR(IF(ISNUMBER(MATCH(C457,Fichas!$A:$A,0)),"un",""),""))))</f>
      </c>
      <c r="F457" s="8">
        <f>IF(C457="","",IFERROR(VLOOKUP(C457,Insumos!$A:$G,7,FALSE),100))</f>
      </c>
      <c r="G457" s="9">
        <f>IF(C457="","",IFERROR(VLOOKUP(C457,Insumos!$A:$J,10,FALSE),IFERROR(VLOOKUP(C457,Preparos!$A:$F,6,FALSE),IFERROR(VLOOKUP(C457,Fichas!$A:$D,4,FALSE),0))))</f>
      </c>
      <c r="H457" s="10">
        <f>IF(OR(D457="",G457="",F457=0),"",D457*G457*(100/F457))</f>
      </c>
      <c r="I457" s="5"/>
    </row>
    <row r="458" spans="1:9" x14ac:dyDescent="0.25">
      <c r="A458" s="7"/>
      <c r="B458" s="8">
        <f>IF(C458="","",IF(ISNUMBER(MATCH(C458,Insumos!$A:$A,0)),"insumo",IF(ISNUMBER(MATCH(C458,Preparos!$A:$A,0)),"preparo",IF(ISNUMBER(MATCH(C458,Fichas!$A:$A,0)),"ficha",""))))</f>
      </c>
      <c r="C458" s="7"/>
      <c r="D458" s="7"/>
      <c r="E458" s="8">
        <f>IF(C458="","",IFERROR(VLOOKUP(C458,Insumos!$A:$I,9,FALSE),IFERROR(VLOOKUP(C458,Preparos!$A:$D,4,FALSE),IFERROR(IF(ISNUMBER(MATCH(C458,Fichas!$A:$A,0)),"un",""),""))))</f>
      </c>
      <c r="F458" s="8">
        <f>IF(C458="","",IFERROR(VLOOKUP(C458,Insumos!$A:$G,7,FALSE),100))</f>
      </c>
      <c r="G458" s="9">
        <f>IF(C458="","",IFERROR(VLOOKUP(C458,Insumos!$A:$J,10,FALSE),IFERROR(VLOOKUP(C458,Preparos!$A:$F,6,FALSE),IFERROR(VLOOKUP(C458,Fichas!$A:$D,4,FALSE),0))))</f>
      </c>
      <c r="H458" s="10">
        <f>IF(OR(D458="",G458="",F458=0),"",D458*G458*(100/F458))</f>
      </c>
      <c r="I458" s="5"/>
    </row>
    <row r="459" spans="1:9" x14ac:dyDescent="0.25">
      <c r="A459" s="7"/>
      <c r="B459" s="8">
        <f>IF(C459="","",IF(ISNUMBER(MATCH(C459,Insumos!$A:$A,0)),"insumo",IF(ISNUMBER(MATCH(C459,Preparos!$A:$A,0)),"preparo",IF(ISNUMBER(MATCH(C459,Fichas!$A:$A,0)),"ficha",""))))</f>
      </c>
      <c r="C459" s="7"/>
      <c r="D459" s="7"/>
      <c r="E459" s="8">
        <f>IF(C459="","",IFERROR(VLOOKUP(C459,Insumos!$A:$I,9,FALSE),IFERROR(VLOOKUP(C459,Preparos!$A:$D,4,FALSE),IFERROR(IF(ISNUMBER(MATCH(C459,Fichas!$A:$A,0)),"un",""),""))))</f>
      </c>
      <c r="F459" s="8">
        <f>IF(C459="","",IFERROR(VLOOKUP(C459,Insumos!$A:$G,7,FALSE),100))</f>
      </c>
      <c r="G459" s="9">
        <f>IF(C459="","",IFERROR(VLOOKUP(C459,Insumos!$A:$J,10,FALSE),IFERROR(VLOOKUP(C459,Preparos!$A:$F,6,FALSE),IFERROR(VLOOKUP(C459,Fichas!$A:$D,4,FALSE),0))))</f>
      </c>
      <c r="H459" s="10">
        <f>IF(OR(D459="",G459="",F459=0),"",D459*G459*(100/F459))</f>
      </c>
      <c r="I459" s="5"/>
    </row>
    <row r="460" spans="1:9" x14ac:dyDescent="0.25">
      <c r="A460" s="7"/>
      <c r="B460" s="8">
        <f>IF(C460="","",IF(ISNUMBER(MATCH(C460,Insumos!$A:$A,0)),"insumo",IF(ISNUMBER(MATCH(C460,Preparos!$A:$A,0)),"preparo",IF(ISNUMBER(MATCH(C460,Fichas!$A:$A,0)),"ficha",""))))</f>
      </c>
      <c r="C460" s="7"/>
      <c r="D460" s="7"/>
      <c r="E460" s="8">
        <f>IF(C460="","",IFERROR(VLOOKUP(C460,Insumos!$A:$I,9,FALSE),IFERROR(VLOOKUP(C460,Preparos!$A:$D,4,FALSE),IFERROR(IF(ISNUMBER(MATCH(C460,Fichas!$A:$A,0)),"un",""),""))))</f>
      </c>
      <c r="F460" s="8">
        <f>IF(C460="","",IFERROR(VLOOKUP(C460,Insumos!$A:$G,7,FALSE),100))</f>
      </c>
      <c r="G460" s="9">
        <f>IF(C460="","",IFERROR(VLOOKUP(C460,Insumos!$A:$J,10,FALSE),IFERROR(VLOOKUP(C460,Preparos!$A:$F,6,FALSE),IFERROR(VLOOKUP(C460,Fichas!$A:$D,4,FALSE),0))))</f>
      </c>
      <c r="H460" s="10">
        <f>IF(OR(D460="",G460="",F460=0),"",D460*G460*(100/F460))</f>
      </c>
      <c r="I460" s="5"/>
    </row>
    <row r="461" spans="1:9" x14ac:dyDescent="0.25">
      <c r="A461" s="7"/>
      <c r="B461" s="8">
        <f>IF(C461="","",IF(ISNUMBER(MATCH(C461,Insumos!$A:$A,0)),"insumo",IF(ISNUMBER(MATCH(C461,Preparos!$A:$A,0)),"preparo",IF(ISNUMBER(MATCH(C461,Fichas!$A:$A,0)),"ficha",""))))</f>
      </c>
      <c r="C461" s="7"/>
      <c r="D461" s="7"/>
      <c r="E461" s="8">
        <f>IF(C461="","",IFERROR(VLOOKUP(C461,Insumos!$A:$I,9,FALSE),IFERROR(VLOOKUP(C461,Preparos!$A:$D,4,FALSE),IFERROR(IF(ISNUMBER(MATCH(C461,Fichas!$A:$A,0)),"un",""),""))))</f>
      </c>
      <c r="F461" s="8">
        <f>IF(C461="","",IFERROR(VLOOKUP(C461,Insumos!$A:$G,7,FALSE),100))</f>
      </c>
      <c r="G461" s="9">
        <f>IF(C461="","",IFERROR(VLOOKUP(C461,Insumos!$A:$J,10,FALSE),IFERROR(VLOOKUP(C461,Preparos!$A:$F,6,FALSE),IFERROR(VLOOKUP(C461,Fichas!$A:$D,4,FALSE),0))))</f>
      </c>
      <c r="H461" s="10">
        <f>IF(OR(D461="",G461="",F461=0),"",D461*G461*(100/F461))</f>
      </c>
      <c r="I461" s="5"/>
    </row>
    <row r="462" spans="1:9" x14ac:dyDescent="0.25">
      <c r="A462" s="7"/>
      <c r="B462" s="8">
        <f>IF(C462="","",IF(ISNUMBER(MATCH(C462,Insumos!$A:$A,0)),"insumo",IF(ISNUMBER(MATCH(C462,Preparos!$A:$A,0)),"preparo",IF(ISNUMBER(MATCH(C462,Fichas!$A:$A,0)),"ficha",""))))</f>
      </c>
      <c r="C462" s="7"/>
      <c r="D462" s="7"/>
      <c r="E462" s="8">
        <f>IF(C462="","",IFERROR(VLOOKUP(C462,Insumos!$A:$I,9,FALSE),IFERROR(VLOOKUP(C462,Preparos!$A:$D,4,FALSE),IFERROR(IF(ISNUMBER(MATCH(C462,Fichas!$A:$A,0)),"un",""),""))))</f>
      </c>
      <c r="F462" s="8">
        <f>IF(C462="","",IFERROR(VLOOKUP(C462,Insumos!$A:$G,7,FALSE),100))</f>
      </c>
      <c r="G462" s="9">
        <f>IF(C462="","",IFERROR(VLOOKUP(C462,Insumos!$A:$J,10,FALSE),IFERROR(VLOOKUP(C462,Preparos!$A:$F,6,FALSE),IFERROR(VLOOKUP(C462,Fichas!$A:$D,4,FALSE),0))))</f>
      </c>
      <c r="H462" s="10">
        <f>IF(OR(D462="",G462="",F462=0),"",D462*G462*(100/F462))</f>
      </c>
      <c r="I462" s="5"/>
    </row>
    <row r="463" spans="1:9" x14ac:dyDescent="0.25">
      <c r="A463" s="7"/>
      <c r="B463" s="8">
        <f>IF(C463="","",IF(ISNUMBER(MATCH(C463,Insumos!$A:$A,0)),"insumo",IF(ISNUMBER(MATCH(C463,Preparos!$A:$A,0)),"preparo",IF(ISNUMBER(MATCH(C463,Fichas!$A:$A,0)),"ficha",""))))</f>
      </c>
      <c r="C463" s="7"/>
      <c r="D463" s="7"/>
      <c r="E463" s="8">
        <f>IF(C463="","",IFERROR(VLOOKUP(C463,Insumos!$A:$I,9,FALSE),IFERROR(VLOOKUP(C463,Preparos!$A:$D,4,FALSE),IFERROR(IF(ISNUMBER(MATCH(C463,Fichas!$A:$A,0)),"un",""),""))))</f>
      </c>
      <c r="F463" s="8">
        <f>IF(C463="","",IFERROR(VLOOKUP(C463,Insumos!$A:$G,7,FALSE),100))</f>
      </c>
      <c r="G463" s="9">
        <f>IF(C463="","",IFERROR(VLOOKUP(C463,Insumos!$A:$J,10,FALSE),IFERROR(VLOOKUP(C463,Preparos!$A:$F,6,FALSE),IFERROR(VLOOKUP(C463,Fichas!$A:$D,4,FALSE),0))))</f>
      </c>
      <c r="H463" s="10">
        <f>IF(OR(D463="",G463="",F463=0),"",D463*G463*(100/F463))</f>
      </c>
      <c r="I463" s="5"/>
    </row>
    <row r="464" spans="1:9" x14ac:dyDescent="0.25">
      <c r="A464" s="7"/>
      <c r="B464" s="8">
        <f>IF(C464="","",IF(ISNUMBER(MATCH(C464,Insumos!$A:$A,0)),"insumo",IF(ISNUMBER(MATCH(C464,Preparos!$A:$A,0)),"preparo",IF(ISNUMBER(MATCH(C464,Fichas!$A:$A,0)),"ficha",""))))</f>
      </c>
      <c r="C464" s="7"/>
      <c r="D464" s="7"/>
      <c r="E464" s="8">
        <f>IF(C464="","",IFERROR(VLOOKUP(C464,Insumos!$A:$I,9,FALSE),IFERROR(VLOOKUP(C464,Preparos!$A:$D,4,FALSE),IFERROR(IF(ISNUMBER(MATCH(C464,Fichas!$A:$A,0)),"un",""),""))))</f>
      </c>
      <c r="F464" s="8">
        <f>IF(C464="","",IFERROR(VLOOKUP(C464,Insumos!$A:$G,7,FALSE),100))</f>
      </c>
      <c r="G464" s="9">
        <f>IF(C464="","",IFERROR(VLOOKUP(C464,Insumos!$A:$J,10,FALSE),IFERROR(VLOOKUP(C464,Preparos!$A:$F,6,FALSE),IFERROR(VLOOKUP(C464,Fichas!$A:$D,4,FALSE),0))))</f>
      </c>
      <c r="H464" s="10">
        <f>IF(OR(D464="",G464="",F464=0),"",D464*G464*(100/F464))</f>
      </c>
      <c r="I464" s="5"/>
    </row>
    <row r="465" spans="1:9" x14ac:dyDescent="0.25">
      <c r="A465" s="7"/>
      <c r="B465" s="8">
        <f>IF(C465="","",IF(ISNUMBER(MATCH(C465,Insumos!$A:$A,0)),"insumo",IF(ISNUMBER(MATCH(C465,Preparos!$A:$A,0)),"preparo",IF(ISNUMBER(MATCH(C465,Fichas!$A:$A,0)),"ficha",""))))</f>
      </c>
      <c r="C465" s="7"/>
      <c r="D465" s="7"/>
      <c r="E465" s="8">
        <f>IF(C465="","",IFERROR(VLOOKUP(C465,Insumos!$A:$I,9,FALSE),IFERROR(VLOOKUP(C465,Preparos!$A:$D,4,FALSE),IFERROR(IF(ISNUMBER(MATCH(C465,Fichas!$A:$A,0)),"un",""),""))))</f>
      </c>
      <c r="F465" s="8">
        <f>IF(C465="","",IFERROR(VLOOKUP(C465,Insumos!$A:$G,7,FALSE),100))</f>
      </c>
      <c r="G465" s="9">
        <f>IF(C465="","",IFERROR(VLOOKUP(C465,Insumos!$A:$J,10,FALSE),IFERROR(VLOOKUP(C465,Preparos!$A:$F,6,FALSE),IFERROR(VLOOKUP(C465,Fichas!$A:$D,4,FALSE),0))))</f>
      </c>
      <c r="H465" s="10">
        <f>IF(OR(D465="",G465="",F465=0),"",D465*G465*(100/F465))</f>
      </c>
      <c r="I465" s="5"/>
    </row>
    <row r="466" spans="1:9" x14ac:dyDescent="0.25">
      <c r="A466" s="7"/>
      <c r="B466" s="8">
        <f>IF(C466="","",IF(ISNUMBER(MATCH(C466,Insumos!$A:$A,0)),"insumo",IF(ISNUMBER(MATCH(C466,Preparos!$A:$A,0)),"preparo",IF(ISNUMBER(MATCH(C466,Fichas!$A:$A,0)),"ficha",""))))</f>
      </c>
      <c r="C466" s="7"/>
      <c r="D466" s="7"/>
      <c r="E466" s="8">
        <f>IF(C466="","",IFERROR(VLOOKUP(C466,Insumos!$A:$I,9,FALSE),IFERROR(VLOOKUP(C466,Preparos!$A:$D,4,FALSE),IFERROR(IF(ISNUMBER(MATCH(C466,Fichas!$A:$A,0)),"un",""),""))))</f>
      </c>
      <c r="F466" s="8">
        <f>IF(C466="","",IFERROR(VLOOKUP(C466,Insumos!$A:$G,7,FALSE),100))</f>
      </c>
      <c r="G466" s="9">
        <f>IF(C466="","",IFERROR(VLOOKUP(C466,Insumos!$A:$J,10,FALSE),IFERROR(VLOOKUP(C466,Preparos!$A:$F,6,FALSE),IFERROR(VLOOKUP(C466,Fichas!$A:$D,4,FALSE),0))))</f>
      </c>
      <c r="H466" s="10">
        <f>IF(OR(D466="",G466="",F466=0),"",D466*G466*(100/F466))</f>
      </c>
      <c r="I466" s="5"/>
    </row>
    <row r="467" spans="1:9" x14ac:dyDescent="0.25">
      <c r="A467" s="7"/>
      <c r="B467" s="8">
        <f>IF(C467="","",IF(ISNUMBER(MATCH(C467,Insumos!$A:$A,0)),"insumo",IF(ISNUMBER(MATCH(C467,Preparos!$A:$A,0)),"preparo",IF(ISNUMBER(MATCH(C467,Fichas!$A:$A,0)),"ficha",""))))</f>
      </c>
      <c r="C467" s="7"/>
      <c r="D467" s="7"/>
      <c r="E467" s="8">
        <f>IF(C467="","",IFERROR(VLOOKUP(C467,Insumos!$A:$I,9,FALSE),IFERROR(VLOOKUP(C467,Preparos!$A:$D,4,FALSE),IFERROR(IF(ISNUMBER(MATCH(C467,Fichas!$A:$A,0)),"un",""),""))))</f>
      </c>
      <c r="F467" s="8">
        <f>IF(C467="","",IFERROR(VLOOKUP(C467,Insumos!$A:$G,7,FALSE),100))</f>
      </c>
      <c r="G467" s="9">
        <f>IF(C467="","",IFERROR(VLOOKUP(C467,Insumos!$A:$J,10,FALSE),IFERROR(VLOOKUP(C467,Preparos!$A:$F,6,FALSE),IFERROR(VLOOKUP(C467,Fichas!$A:$D,4,FALSE),0))))</f>
      </c>
      <c r="H467" s="10">
        <f>IF(OR(D467="",G467="",F467=0),"",D467*G467*(100/F467))</f>
      </c>
      <c r="I467" s="5"/>
    </row>
    <row r="468" spans="1:9" x14ac:dyDescent="0.25">
      <c r="A468" s="7"/>
      <c r="B468" s="8">
        <f>IF(C468="","",IF(ISNUMBER(MATCH(C468,Insumos!$A:$A,0)),"insumo",IF(ISNUMBER(MATCH(C468,Preparos!$A:$A,0)),"preparo",IF(ISNUMBER(MATCH(C468,Fichas!$A:$A,0)),"ficha",""))))</f>
      </c>
      <c r="C468" s="7"/>
      <c r="D468" s="7"/>
      <c r="E468" s="8">
        <f>IF(C468="","",IFERROR(VLOOKUP(C468,Insumos!$A:$I,9,FALSE),IFERROR(VLOOKUP(C468,Preparos!$A:$D,4,FALSE),IFERROR(IF(ISNUMBER(MATCH(C468,Fichas!$A:$A,0)),"un",""),""))))</f>
      </c>
      <c r="F468" s="8">
        <f>IF(C468="","",IFERROR(VLOOKUP(C468,Insumos!$A:$G,7,FALSE),100))</f>
      </c>
      <c r="G468" s="9">
        <f>IF(C468="","",IFERROR(VLOOKUP(C468,Insumos!$A:$J,10,FALSE),IFERROR(VLOOKUP(C468,Preparos!$A:$F,6,FALSE),IFERROR(VLOOKUP(C468,Fichas!$A:$D,4,FALSE),0))))</f>
      </c>
      <c r="H468" s="10">
        <f>IF(OR(D468="",G468="",F468=0),"",D468*G468*(100/F468))</f>
      </c>
      <c r="I468" s="5"/>
    </row>
    <row r="469" spans="1:9" x14ac:dyDescent="0.25">
      <c r="A469" s="7"/>
      <c r="B469" s="8">
        <f>IF(C469="","",IF(ISNUMBER(MATCH(C469,Insumos!$A:$A,0)),"insumo",IF(ISNUMBER(MATCH(C469,Preparos!$A:$A,0)),"preparo",IF(ISNUMBER(MATCH(C469,Fichas!$A:$A,0)),"ficha",""))))</f>
      </c>
      <c r="C469" s="7"/>
      <c r="D469" s="7"/>
      <c r="E469" s="8">
        <f>IF(C469="","",IFERROR(VLOOKUP(C469,Insumos!$A:$I,9,FALSE),IFERROR(VLOOKUP(C469,Preparos!$A:$D,4,FALSE),IFERROR(IF(ISNUMBER(MATCH(C469,Fichas!$A:$A,0)),"un",""),""))))</f>
      </c>
      <c r="F469" s="8">
        <f>IF(C469="","",IFERROR(VLOOKUP(C469,Insumos!$A:$G,7,FALSE),100))</f>
      </c>
      <c r="G469" s="9">
        <f>IF(C469="","",IFERROR(VLOOKUP(C469,Insumos!$A:$J,10,FALSE),IFERROR(VLOOKUP(C469,Preparos!$A:$F,6,FALSE),IFERROR(VLOOKUP(C469,Fichas!$A:$D,4,FALSE),0))))</f>
      </c>
      <c r="H469" s="10">
        <f>IF(OR(D469="",G469="",F469=0),"",D469*G469*(100/F469))</f>
      </c>
      <c r="I469" s="5"/>
    </row>
    <row r="470" spans="1:9" x14ac:dyDescent="0.25">
      <c r="A470" s="7"/>
      <c r="B470" s="8">
        <f>IF(C470="","",IF(ISNUMBER(MATCH(C470,Insumos!$A:$A,0)),"insumo",IF(ISNUMBER(MATCH(C470,Preparos!$A:$A,0)),"preparo",IF(ISNUMBER(MATCH(C470,Fichas!$A:$A,0)),"ficha",""))))</f>
      </c>
      <c r="C470" s="7"/>
      <c r="D470" s="7"/>
      <c r="E470" s="8">
        <f>IF(C470="","",IFERROR(VLOOKUP(C470,Insumos!$A:$I,9,FALSE),IFERROR(VLOOKUP(C470,Preparos!$A:$D,4,FALSE),IFERROR(IF(ISNUMBER(MATCH(C470,Fichas!$A:$A,0)),"un",""),""))))</f>
      </c>
      <c r="F470" s="8">
        <f>IF(C470="","",IFERROR(VLOOKUP(C470,Insumos!$A:$G,7,FALSE),100))</f>
      </c>
      <c r="G470" s="9">
        <f>IF(C470="","",IFERROR(VLOOKUP(C470,Insumos!$A:$J,10,FALSE),IFERROR(VLOOKUP(C470,Preparos!$A:$F,6,FALSE),IFERROR(VLOOKUP(C470,Fichas!$A:$D,4,FALSE),0))))</f>
      </c>
      <c r="H470" s="10">
        <f>IF(OR(D470="",G470="",F470=0),"",D470*G470*(100/F470))</f>
      </c>
      <c r="I470" s="5"/>
    </row>
    <row r="471" spans="1:9" x14ac:dyDescent="0.25">
      <c r="A471" s="7"/>
      <c r="B471" s="8">
        <f>IF(C471="","",IF(ISNUMBER(MATCH(C471,Insumos!$A:$A,0)),"insumo",IF(ISNUMBER(MATCH(C471,Preparos!$A:$A,0)),"preparo",IF(ISNUMBER(MATCH(C471,Fichas!$A:$A,0)),"ficha",""))))</f>
      </c>
      <c r="C471" s="7"/>
      <c r="D471" s="7"/>
      <c r="E471" s="8">
        <f>IF(C471="","",IFERROR(VLOOKUP(C471,Insumos!$A:$I,9,FALSE),IFERROR(VLOOKUP(C471,Preparos!$A:$D,4,FALSE),IFERROR(IF(ISNUMBER(MATCH(C471,Fichas!$A:$A,0)),"un",""),""))))</f>
      </c>
      <c r="F471" s="8">
        <f>IF(C471="","",IFERROR(VLOOKUP(C471,Insumos!$A:$G,7,FALSE),100))</f>
      </c>
      <c r="G471" s="9">
        <f>IF(C471="","",IFERROR(VLOOKUP(C471,Insumos!$A:$J,10,FALSE),IFERROR(VLOOKUP(C471,Preparos!$A:$F,6,FALSE),IFERROR(VLOOKUP(C471,Fichas!$A:$D,4,FALSE),0))))</f>
      </c>
      <c r="H471" s="10">
        <f>IF(OR(D471="",G471="",F471=0),"",D471*G471*(100/F471))</f>
      </c>
      <c r="I471" s="5"/>
    </row>
    <row r="472" spans="1:9" x14ac:dyDescent="0.25">
      <c r="A472" s="7"/>
      <c r="B472" s="8">
        <f>IF(C472="","",IF(ISNUMBER(MATCH(C472,Insumos!$A:$A,0)),"insumo",IF(ISNUMBER(MATCH(C472,Preparos!$A:$A,0)),"preparo",IF(ISNUMBER(MATCH(C472,Fichas!$A:$A,0)),"ficha",""))))</f>
      </c>
      <c r="C472" s="7"/>
      <c r="D472" s="7"/>
      <c r="E472" s="8">
        <f>IF(C472="","",IFERROR(VLOOKUP(C472,Insumos!$A:$I,9,FALSE),IFERROR(VLOOKUP(C472,Preparos!$A:$D,4,FALSE),IFERROR(IF(ISNUMBER(MATCH(C472,Fichas!$A:$A,0)),"un",""),""))))</f>
      </c>
      <c r="F472" s="8">
        <f>IF(C472="","",IFERROR(VLOOKUP(C472,Insumos!$A:$G,7,FALSE),100))</f>
      </c>
      <c r="G472" s="9">
        <f>IF(C472="","",IFERROR(VLOOKUP(C472,Insumos!$A:$J,10,FALSE),IFERROR(VLOOKUP(C472,Preparos!$A:$F,6,FALSE),IFERROR(VLOOKUP(C472,Fichas!$A:$D,4,FALSE),0))))</f>
      </c>
      <c r="H472" s="10">
        <f>IF(OR(D472="",G472="",F472=0),"",D472*G472*(100/F472))</f>
      </c>
      <c r="I472" s="5"/>
    </row>
    <row r="473" spans="1:9" x14ac:dyDescent="0.25">
      <c r="A473" s="7"/>
      <c r="B473" s="8">
        <f>IF(C473="","",IF(ISNUMBER(MATCH(C473,Insumos!$A:$A,0)),"insumo",IF(ISNUMBER(MATCH(C473,Preparos!$A:$A,0)),"preparo",IF(ISNUMBER(MATCH(C473,Fichas!$A:$A,0)),"ficha",""))))</f>
      </c>
      <c r="C473" s="7"/>
      <c r="D473" s="7"/>
      <c r="E473" s="8">
        <f>IF(C473="","",IFERROR(VLOOKUP(C473,Insumos!$A:$I,9,FALSE),IFERROR(VLOOKUP(C473,Preparos!$A:$D,4,FALSE),IFERROR(IF(ISNUMBER(MATCH(C473,Fichas!$A:$A,0)),"un",""),""))))</f>
      </c>
      <c r="F473" s="8">
        <f>IF(C473="","",IFERROR(VLOOKUP(C473,Insumos!$A:$G,7,FALSE),100))</f>
      </c>
      <c r="G473" s="9">
        <f>IF(C473="","",IFERROR(VLOOKUP(C473,Insumos!$A:$J,10,FALSE),IFERROR(VLOOKUP(C473,Preparos!$A:$F,6,FALSE),IFERROR(VLOOKUP(C473,Fichas!$A:$D,4,FALSE),0))))</f>
      </c>
      <c r="H473" s="10">
        <f>IF(OR(D473="",G473="",F473=0),"",D473*G473*(100/F473))</f>
      </c>
      <c r="I473" s="5"/>
    </row>
    <row r="474" spans="1:9" x14ac:dyDescent="0.25">
      <c r="A474" s="7"/>
      <c r="B474" s="8">
        <f>IF(C474="","",IF(ISNUMBER(MATCH(C474,Insumos!$A:$A,0)),"insumo",IF(ISNUMBER(MATCH(C474,Preparos!$A:$A,0)),"preparo",IF(ISNUMBER(MATCH(C474,Fichas!$A:$A,0)),"ficha",""))))</f>
      </c>
      <c r="C474" s="7"/>
      <c r="D474" s="7"/>
      <c r="E474" s="8">
        <f>IF(C474="","",IFERROR(VLOOKUP(C474,Insumos!$A:$I,9,FALSE),IFERROR(VLOOKUP(C474,Preparos!$A:$D,4,FALSE),IFERROR(IF(ISNUMBER(MATCH(C474,Fichas!$A:$A,0)),"un",""),""))))</f>
      </c>
      <c r="F474" s="8">
        <f>IF(C474="","",IFERROR(VLOOKUP(C474,Insumos!$A:$G,7,FALSE),100))</f>
      </c>
      <c r="G474" s="9">
        <f>IF(C474="","",IFERROR(VLOOKUP(C474,Insumos!$A:$J,10,FALSE),IFERROR(VLOOKUP(C474,Preparos!$A:$F,6,FALSE),IFERROR(VLOOKUP(C474,Fichas!$A:$D,4,FALSE),0))))</f>
      </c>
      <c r="H474" s="10">
        <f>IF(OR(D474="",G474="",F474=0),"",D474*G474*(100/F474))</f>
      </c>
      <c r="I474" s="5"/>
    </row>
    <row r="475" spans="1:9" x14ac:dyDescent="0.25">
      <c r="A475" s="7"/>
      <c r="B475" s="8">
        <f>IF(C475="","",IF(ISNUMBER(MATCH(C475,Insumos!$A:$A,0)),"insumo",IF(ISNUMBER(MATCH(C475,Preparos!$A:$A,0)),"preparo",IF(ISNUMBER(MATCH(C475,Fichas!$A:$A,0)),"ficha",""))))</f>
      </c>
      <c r="C475" s="7"/>
      <c r="D475" s="7"/>
      <c r="E475" s="8">
        <f>IF(C475="","",IFERROR(VLOOKUP(C475,Insumos!$A:$I,9,FALSE),IFERROR(VLOOKUP(C475,Preparos!$A:$D,4,FALSE),IFERROR(IF(ISNUMBER(MATCH(C475,Fichas!$A:$A,0)),"un",""),""))))</f>
      </c>
      <c r="F475" s="8">
        <f>IF(C475="","",IFERROR(VLOOKUP(C475,Insumos!$A:$G,7,FALSE),100))</f>
      </c>
      <c r="G475" s="9">
        <f>IF(C475="","",IFERROR(VLOOKUP(C475,Insumos!$A:$J,10,FALSE),IFERROR(VLOOKUP(C475,Preparos!$A:$F,6,FALSE),IFERROR(VLOOKUP(C475,Fichas!$A:$D,4,FALSE),0))))</f>
      </c>
      <c r="H475" s="10">
        <f>IF(OR(D475="",G475="",F475=0),"",D475*G475*(100/F475))</f>
      </c>
      <c r="I475" s="5"/>
    </row>
    <row r="476" spans="1:9" x14ac:dyDescent="0.25">
      <c r="A476" s="7"/>
      <c r="B476" s="8">
        <f>IF(C476="","",IF(ISNUMBER(MATCH(C476,Insumos!$A:$A,0)),"insumo",IF(ISNUMBER(MATCH(C476,Preparos!$A:$A,0)),"preparo",IF(ISNUMBER(MATCH(C476,Fichas!$A:$A,0)),"ficha",""))))</f>
      </c>
      <c r="C476" s="7"/>
      <c r="D476" s="7"/>
      <c r="E476" s="8">
        <f>IF(C476="","",IFERROR(VLOOKUP(C476,Insumos!$A:$I,9,FALSE),IFERROR(VLOOKUP(C476,Preparos!$A:$D,4,FALSE),IFERROR(IF(ISNUMBER(MATCH(C476,Fichas!$A:$A,0)),"un",""),""))))</f>
      </c>
      <c r="F476" s="8">
        <f>IF(C476="","",IFERROR(VLOOKUP(C476,Insumos!$A:$G,7,FALSE),100))</f>
      </c>
      <c r="G476" s="9">
        <f>IF(C476="","",IFERROR(VLOOKUP(C476,Insumos!$A:$J,10,FALSE),IFERROR(VLOOKUP(C476,Preparos!$A:$F,6,FALSE),IFERROR(VLOOKUP(C476,Fichas!$A:$D,4,FALSE),0))))</f>
      </c>
      <c r="H476" s="10">
        <f>IF(OR(D476="",G476="",F476=0),"",D476*G476*(100/F476))</f>
      </c>
      <c r="I476" s="5"/>
    </row>
    <row r="477" spans="1:9" x14ac:dyDescent="0.25">
      <c r="A477" s="7"/>
      <c r="B477" s="8">
        <f>IF(C477="","",IF(ISNUMBER(MATCH(C477,Insumos!$A:$A,0)),"insumo",IF(ISNUMBER(MATCH(C477,Preparos!$A:$A,0)),"preparo",IF(ISNUMBER(MATCH(C477,Fichas!$A:$A,0)),"ficha",""))))</f>
      </c>
      <c r="C477" s="7"/>
      <c r="D477" s="7"/>
      <c r="E477" s="8">
        <f>IF(C477="","",IFERROR(VLOOKUP(C477,Insumos!$A:$I,9,FALSE),IFERROR(VLOOKUP(C477,Preparos!$A:$D,4,FALSE),IFERROR(IF(ISNUMBER(MATCH(C477,Fichas!$A:$A,0)),"un",""),""))))</f>
      </c>
      <c r="F477" s="8">
        <f>IF(C477="","",IFERROR(VLOOKUP(C477,Insumos!$A:$G,7,FALSE),100))</f>
      </c>
      <c r="G477" s="9">
        <f>IF(C477="","",IFERROR(VLOOKUP(C477,Insumos!$A:$J,10,FALSE),IFERROR(VLOOKUP(C477,Preparos!$A:$F,6,FALSE),IFERROR(VLOOKUP(C477,Fichas!$A:$D,4,FALSE),0))))</f>
      </c>
      <c r="H477" s="10">
        <f>IF(OR(D477="",G477="",F477=0),"",D477*G477*(100/F477))</f>
      </c>
      <c r="I477" s="5"/>
    </row>
    <row r="478" spans="1:9" x14ac:dyDescent="0.25">
      <c r="A478" s="7"/>
      <c r="B478" s="8">
        <f>IF(C478="","",IF(ISNUMBER(MATCH(C478,Insumos!$A:$A,0)),"insumo",IF(ISNUMBER(MATCH(C478,Preparos!$A:$A,0)),"preparo",IF(ISNUMBER(MATCH(C478,Fichas!$A:$A,0)),"ficha",""))))</f>
      </c>
      <c r="C478" s="7"/>
      <c r="D478" s="7"/>
      <c r="E478" s="8">
        <f>IF(C478="","",IFERROR(VLOOKUP(C478,Insumos!$A:$I,9,FALSE),IFERROR(VLOOKUP(C478,Preparos!$A:$D,4,FALSE),IFERROR(IF(ISNUMBER(MATCH(C478,Fichas!$A:$A,0)),"un",""),""))))</f>
      </c>
      <c r="F478" s="8">
        <f>IF(C478="","",IFERROR(VLOOKUP(C478,Insumos!$A:$G,7,FALSE),100))</f>
      </c>
      <c r="G478" s="9">
        <f>IF(C478="","",IFERROR(VLOOKUP(C478,Insumos!$A:$J,10,FALSE),IFERROR(VLOOKUP(C478,Preparos!$A:$F,6,FALSE),IFERROR(VLOOKUP(C478,Fichas!$A:$D,4,FALSE),0))))</f>
      </c>
      <c r="H478" s="10">
        <f>IF(OR(D478="",G478="",F478=0),"",D478*G478*(100/F478))</f>
      </c>
      <c r="I478" s="5"/>
    </row>
    <row r="479" spans="1:9" x14ac:dyDescent="0.25">
      <c r="A479" s="7"/>
      <c r="B479" s="8">
        <f>IF(C479="","",IF(ISNUMBER(MATCH(C479,Insumos!$A:$A,0)),"insumo",IF(ISNUMBER(MATCH(C479,Preparos!$A:$A,0)),"preparo",IF(ISNUMBER(MATCH(C479,Fichas!$A:$A,0)),"ficha",""))))</f>
      </c>
      <c r="C479" s="7"/>
      <c r="D479" s="7"/>
      <c r="E479" s="8">
        <f>IF(C479="","",IFERROR(VLOOKUP(C479,Insumos!$A:$I,9,FALSE),IFERROR(VLOOKUP(C479,Preparos!$A:$D,4,FALSE),IFERROR(IF(ISNUMBER(MATCH(C479,Fichas!$A:$A,0)),"un",""),""))))</f>
      </c>
      <c r="F479" s="8">
        <f>IF(C479="","",IFERROR(VLOOKUP(C479,Insumos!$A:$G,7,FALSE),100))</f>
      </c>
      <c r="G479" s="9">
        <f>IF(C479="","",IFERROR(VLOOKUP(C479,Insumos!$A:$J,10,FALSE),IFERROR(VLOOKUP(C479,Preparos!$A:$F,6,FALSE),IFERROR(VLOOKUP(C479,Fichas!$A:$D,4,FALSE),0))))</f>
      </c>
      <c r="H479" s="10">
        <f>IF(OR(D479="",G479="",F479=0),"",D479*G479*(100/F479))</f>
      </c>
      <c r="I479" s="5"/>
    </row>
    <row r="480" spans="1:9" x14ac:dyDescent="0.25">
      <c r="A480" s="7"/>
      <c r="B480" s="8">
        <f>IF(C480="","",IF(ISNUMBER(MATCH(C480,Insumos!$A:$A,0)),"insumo",IF(ISNUMBER(MATCH(C480,Preparos!$A:$A,0)),"preparo",IF(ISNUMBER(MATCH(C480,Fichas!$A:$A,0)),"ficha",""))))</f>
      </c>
      <c r="C480" s="7"/>
      <c r="D480" s="7"/>
      <c r="E480" s="8">
        <f>IF(C480="","",IFERROR(VLOOKUP(C480,Insumos!$A:$I,9,FALSE),IFERROR(VLOOKUP(C480,Preparos!$A:$D,4,FALSE),IFERROR(IF(ISNUMBER(MATCH(C480,Fichas!$A:$A,0)),"un",""),""))))</f>
      </c>
      <c r="F480" s="8">
        <f>IF(C480="","",IFERROR(VLOOKUP(C480,Insumos!$A:$G,7,FALSE),100))</f>
      </c>
      <c r="G480" s="9">
        <f>IF(C480="","",IFERROR(VLOOKUP(C480,Insumos!$A:$J,10,FALSE),IFERROR(VLOOKUP(C480,Preparos!$A:$F,6,FALSE),IFERROR(VLOOKUP(C480,Fichas!$A:$D,4,FALSE),0))))</f>
      </c>
      <c r="H480" s="10">
        <f>IF(OR(D480="",G480="",F480=0),"",D480*G480*(100/F480))</f>
      </c>
      <c r="I480" s="5"/>
    </row>
    <row r="481" spans="1:9" x14ac:dyDescent="0.25">
      <c r="A481" s="7"/>
      <c r="B481" s="8">
        <f>IF(C481="","",IF(ISNUMBER(MATCH(C481,Insumos!$A:$A,0)),"insumo",IF(ISNUMBER(MATCH(C481,Preparos!$A:$A,0)),"preparo",IF(ISNUMBER(MATCH(C481,Fichas!$A:$A,0)),"ficha",""))))</f>
      </c>
      <c r="C481" s="7"/>
      <c r="D481" s="7"/>
      <c r="E481" s="8">
        <f>IF(C481="","",IFERROR(VLOOKUP(C481,Insumos!$A:$I,9,FALSE),IFERROR(VLOOKUP(C481,Preparos!$A:$D,4,FALSE),IFERROR(IF(ISNUMBER(MATCH(C481,Fichas!$A:$A,0)),"un",""),""))))</f>
      </c>
      <c r="F481" s="8">
        <f>IF(C481="","",IFERROR(VLOOKUP(C481,Insumos!$A:$G,7,FALSE),100))</f>
      </c>
      <c r="G481" s="9">
        <f>IF(C481="","",IFERROR(VLOOKUP(C481,Insumos!$A:$J,10,FALSE),IFERROR(VLOOKUP(C481,Preparos!$A:$F,6,FALSE),IFERROR(VLOOKUP(C481,Fichas!$A:$D,4,FALSE),0))))</f>
      </c>
      <c r="H481" s="10">
        <f>IF(OR(D481="",G481="",F481=0),"",D481*G481*(100/F481))</f>
      </c>
      <c r="I481" s="5"/>
    </row>
    <row r="482" spans="1:9" x14ac:dyDescent="0.25">
      <c r="A482" s="7"/>
      <c r="B482" s="8">
        <f>IF(C482="","",IF(ISNUMBER(MATCH(C482,Insumos!$A:$A,0)),"insumo",IF(ISNUMBER(MATCH(C482,Preparos!$A:$A,0)),"preparo",IF(ISNUMBER(MATCH(C482,Fichas!$A:$A,0)),"ficha",""))))</f>
      </c>
      <c r="C482" s="7"/>
      <c r="D482" s="7"/>
      <c r="E482" s="8">
        <f>IF(C482="","",IFERROR(VLOOKUP(C482,Insumos!$A:$I,9,FALSE),IFERROR(VLOOKUP(C482,Preparos!$A:$D,4,FALSE),IFERROR(IF(ISNUMBER(MATCH(C482,Fichas!$A:$A,0)),"un",""),""))))</f>
      </c>
      <c r="F482" s="8">
        <f>IF(C482="","",IFERROR(VLOOKUP(C482,Insumos!$A:$G,7,FALSE),100))</f>
      </c>
      <c r="G482" s="9">
        <f>IF(C482="","",IFERROR(VLOOKUP(C482,Insumos!$A:$J,10,FALSE),IFERROR(VLOOKUP(C482,Preparos!$A:$F,6,FALSE),IFERROR(VLOOKUP(C482,Fichas!$A:$D,4,FALSE),0))))</f>
      </c>
      <c r="H482" s="10">
        <f>IF(OR(D482="",G482="",F482=0),"",D482*G482*(100/F482))</f>
      </c>
      <c r="I482" s="5"/>
    </row>
    <row r="483" spans="1:9" x14ac:dyDescent="0.25">
      <c r="A483" s="7"/>
      <c r="B483" s="8">
        <f>IF(C483="","",IF(ISNUMBER(MATCH(C483,Insumos!$A:$A,0)),"insumo",IF(ISNUMBER(MATCH(C483,Preparos!$A:$A,0)),"preparo",IF(ISNUMBER(MATCH(C483,Fichas!$A:$A,0)),"ficha",""))))</f>
      </c>
      <c r="C483" s="7"/>
      <c r="D483" s="7"/>
      <c r="E483" s="8">
        <f>IF(C483="","",IFERROR(VLOOKUP(C483,Insumos!$A:$I,9,FALSE),IFERROR(VLOOKUP(C483,Preparos!$A:$D,4,FALSE),IFERROR(IF(ISNUMBER(MATCH(C483,Fichas!$A:$A,0)),"un",""),""))))</f>
      </c>
      <c r="F483" s="8">
        <f>IF(C483="","",IFERROR(VLOOKUP(C483,Insumos!$A:$G,7,FALSE),100))</f>
      </c>
      <c r="G483" s="9">
        <f>IF(C483="","",IFERROR(VLOOKUP(C483,Insumos!$A:$J,10,FALSE),IFERROR(VLOOKUP(C483,Preparos!$A:$F,6,FALSE),IFERROR(VLOOKUP(C483,Fichas!$A:$D,4,FALSE),0))))</f>
      </c>
      <c r="H483" s="10">
        <f>IF(OR(D483="",G483="",F483=0),"",D483*G483*(100/F483))</f>
      </c>
      <c r="I483" s="5"/>
    </row>
    <row r="484" spans="1:9" x14ac:dyDescent="0.25">
      <c r="A484" s="7"/>
      <c r="B484" s="8">
        <f>IF(C484="","",IF(ISNUMBER(MATCH(C484,Insumos!$A:$A,0)),"insumo",IF(ISNUMBER(MATCH(C484,Preparos!$A:$A,0)),"preparo",IF(ISNUMBER(MATCH(C484,Fichas!$A:$A,0)),"ficha",""))))</f>
      </c>
      <c r="C484" s="7"/>
      <c r="D484" s="7"/>
      <c r="E484" s="8">
        <f>IF(C484="","",IFERROR(VLOOKUP(C484,Insumos!$A:$I,9,FALSE),IFERROR(VLOOKUP(C484,Preparos!$A:$D,4,FALSE),IFERROR(IF(ISNUMBER(MATCH(C484,Fichas!$A:$A,0)),"un",""),""))))</f>
      </c>
      <c r="F484" s="8">
        <f>IF(C484="","",IFERROR(VLOOKUP(C484,Insumos!$A:$G,7,FALSE),100))</f>
      </c>
      <c r="G484" s="9">
        <f>IF(C484="","",IFERROR(VLOOKUP(C484,Insumos!$A:$J,10,FALSE),IFERROR(VLOOKUP(C484,Preparos!$A:$F,6,FALSE),IFERROR(VLOOKUP(C484,Fichas!$A:$D,4,FALSE),0))))</f>
      </c>
      <c r="H484" s="10">
        <f>IF(OR(D484="",G484="",F484=0),"",D484*G484*(100/F484))</f>
      </c>
      <c r="I484" s="5"/>
    </row>
    <row r="485" spans="1:9" x14ac:dyDescent="0.25">
      <c r="A485" s="7"/>
      <c r="B485" s="8">
        <f>IF(C485="","",IF(ISNUMBER(MATCH(C485,Insumos!$A:$A,0)),"insumo",IF(ISNUMBER(MATCH(C485,Preparos!$A:$A,0)),"preparo",IF(ISNUMBER(MATCH(C485,Fichas!$A:$A,0)),"ficha",""))))</f>
      </c>
      <c r="C485" s="7"/>
      <c r="D485" s="7"/>
      <c r="E485" s="8">
        <f>IF(C485="","",IFERROR(VLOOKUP(C485,Insumos!$A:$I,9,FALSE),IFERROR(VLOOKUP(C485,Preparos!$A:$D,4,FALSE),IFERROR(IF(ISNUMBER(MATCH(C485,Fichas!$A:$A,0)),"un",""),""))))</f>
      </c>
      <c r="F485" s="8">
        <f>IF(C485="","",IFERROR(VLOOKUP(C485,Insumos!$A:$G,7,FALSE),100))</f>
      </c>
      <c r="G485" s="9">
        <f>IF(C485="","",IFERROR(VLOOKUP(C485,Insumos!$A:$J,10,FALSE),IFERROR(VLOOKUP(C485,Preparos!$A:$F,6,FALSE),IFERROR(VLOOKUP(C485,Fichas!$A:$D,4,FALSE),0))))</f>
      </c>
      <c r="H485" s="10">
        <f>IF(OR(D485="",G485="",F485=0),"",D485*G485*(100/F485))</f>
      </c>
      <c r="I485" s="5"/>
    </row>
    <row r="486" spans="1:9" x14ac:dyDescent="0.25">
      <c r="A486" s="7"/>
      <c r="B486" s="8">
        <f>IF(C486="","",IF(ISNUMBER(MATCH(C486,Insumos!$A:$A,0)),"insumo",IF(ISNUMBER(MATCH(C486,Preparos!$A:$A,0)),"preparo",IF(ISNUMBER(MATCH(C486,Fichas!$A:$A,0)),"ficha",""))))</f>
      </c>
      <c r="C486" s="7"/>
      <c r="D486" s="7"/>
      <c r="E486" s="8">
        <f>IF(C486="","",IFERROR(VLOOKUP(C486,Insumos!$A:$I,9,FALSE),IFERROR(VLOOKUP(C486,Preparos!$A:$D,4,FALSE),IFERROR(IF(ISNUMBER(MATCH(C486,Fichas!$A:$A,0)),"un",""),""))))</f>
      </c>
      <c r="F486" s="8">
        <f>IF(C486="","",IFERROR(VLOOKUP(C486,Insumos!$A:$G,7,FALSE),100))</f>
      </c>
      <c r="G486" s="9">
        <f>IF(C486="","",IFERROR(VLOOKUP(C486,Insumos!$A:$J,10,FALSE),IFERROR(VLOOKUP(C486,Preparos!$A:$F,6,FALSE),IFERROR(VLOOKUP(C486,Fichas!$A:$D,4,FALSE),0))))</f>
      </c>
      <c r="H486" s="10">
        <f>IF(OR(D486="",G486="",F486=0),"",D486*G486*(100/F486))</f>
      </c>
      <c r="I486" s="5"/>
    </row>
    <row r="487" spans="1:9" x14ac:dyDescent="0.25">
      <c r="A487" s="7"/>
      <c r="B487" s="8">
        <f>IF(C487="","",IF(ISNUMBER(MATCH(C487,Insumos!$A:$A,0)),"insumo",IF(ISNUMBER(MATCH(C487,Preparos!$A:$A,0)),"preparo",IF(ISNUMBER(MATCH(C487,Fichas!$A:$A,0)),"ficha",""))))</f>
      </c>
      <c r="C487" s="7"/>
      <c r="D487" s="7"/>
      <c r="E487" s="8">
        <f>IF(C487="","",IFERROR(VLOOKUP(C487,Insumos!$A:$I,9,FALSE),IFERROR(VLOOKUP(C487,Preparos!$A:$D,4,FALSE),IFERROR(IF(ISNUMBER(MATCH(C487,Fichas!$A:$A,0)),"un",""),""))))</f>
      </c>
      <c r="F487" s="8">
        <f>IF(C487="","",IFERROR(VLOOKUP(C487,Insumos!$A:$G,7,FALSE),100))</f>
      </c>
      <c r="G487" s="9">
        <f>IF(C487="","",IFERROR(VLOOKUP(C487,Insumos!$A:$J,10,FALSE),IFERROR(VLOOKUP(C487,Preparos!$A:$F,6,FALSE),IFERROR(VLOOKUP(C487,Fichas!$A:$D,4,FALSE),0))))</f>
      </c>
      <c r="H487" s="10">
        <f>IF(OR(D487="",G487="",F487=0),"",D487*G487*(100/F487))</f>
      </c>
      <c r="I487" s="5"/>
    </row>
    <row r="488" spans="1:9" x14ac:dyDescent="0.25">
      <c r="A488" s="7"/>
      <c r="B488" s="8">
        <f>IF(C488="","",IF(ISNUMBER(MATCH(C488,Insumos!$A:$A,0)),"insumo",IF(ISNUMBER(MATCH(C488,Preparos!$A:$A,0)),"preparo",IF(ISNUMBER(MATCH(C488,Fichas!$A:$A,0)),"ficha",""))))</f>
      </c>
      <c r="C488" s="7"/>
      <c r="D488" s="7"/>
      <c r="E488" s="8">
        <f>IF(C488="","",IFERROR(VLOOKUP(C488,Insumos!$A:$I,9,FALSE),IFERROR(VLOOKUP(C488,Preparos!$A:$D,4,FALSE),IFERROR(IF(ISNUMBER(MATCH(C488,Fichas!$A:$A,0)),"un",""),""))))</f>
      </c>
      <c r="F488" s="8">
        <f>IF(C488="","",IFERROR(VLOOKUP(C488,Insumos!$A:$G,7,FALSE),100))</f>
      </c>
      <c r="G488" s="9">
        <f>IF(C488="","",IFERROR(VLOOKUP(C488,Insumos!$A:$J,10,FALSE),IFERROR(VLOOKUP(C488,Preparos!$A:$F,6,FALSE),IFERROR(VLOOKUP(C488,Fichas!$A:$D,4,FALSE),0))))</f>
      </c>
      <c r="H488" s="10">
        <f>IF(OR(D488="",G488="",F488=0),"",D488*G488*(100/F488))</f>
      </c>
      <c r="I488" s="5"/>
    </row>
    <row r="489" spans="1:9" x14ac:dyDescent="0.25">
      <c r="A489" s="7"/>
      <c r="B489" s="8">
        <f>IF(C489="","",IF(ISNUMBER(MATCH(C489,Insumos!$A:$A,0)),"insumo",IF(ISNUMBER(MATCH(C489,Preparos!$A:$A,0)),"preparo",IF(ISNUMBER(MATCH(C489,Fichas!$A:$A,0)),"ficha",""))))</f>
      </c>
      <c r="C489" s="7"/>
      <c r="D489" s="7"/>
      <c r="E489" s="8">
        <f>IF(C489="","",IFERROR(VLOOKUP(C489,Insumos!$A:$I,9,FALSE),IFERROR(VLOOKUP(C489,Preparos!$A:$D,4,FALSE),IFERROR(IF(ISNUMBER(MATCH(C489,Fichas!$A:$A,0)),"un",""),""))))</f>
      </c>
      <c r="F489" s="8">
        <f>IF(C489="","",IFERROR(VLOOKUP(C489,Insumos!$A:$G,7,FALSE),100))</f>
      </c>
      <c r="G489" s="9">
        <f>IF(C489="","",IFERROR(VLOOKUP(C489,Insumos!$A:$J,10,FALSE),IFERROR(VLOOKUP(C489,Preparos!$A:$F,6,FALSE),IFERROR(VLOOKUP(C489,Fichas!$A:$D,4,FALSE),0))))</f>
      </c>
      <c r="H489" s="10">
        <f>IF(OR(D489="",G489="",F489=0),"",D489*G489*(100/F489))</f>
      </c>
      <c r="I489" s="5"/>
    </row>
    <row r="490" spans="1:9" x14ac:dyDescent="0.25">
      <c r="A490" s="7"/>
      <c r="B490" s="8">
        <f>IF(C490="","",IF(ISNUMBER(MATCH(C490,Insumos!$A:$A,0)),"insumo",IF(ISNUMBER(MATCH(C490,Preparos!$A:$A,0)),"preparo",IF(ISNUMBER(MATCH(C490,Fichas!$A:$A,0)),"ficha",""))))</f>
      </c>
      <c r="C490" s="7"/>
      <c r="D490" s="7"/>
      <c r="E490" s="8">
        <f>IF(C490="","",IFERROR(VLOOKUP(C490,Insumos!$A:$I,9,FALSE),IFERROR(VLOOKUP(C490,Preparos!$A:$D,4,FALSE),IFERROR(IF(ISNUMBER(MATCH(C490,Fichas!$A:$A,0)),"un",""),""))))</f>
      </c>
      <c r="F490" s="8">
        <f>IF(C490="","",IFERROR(VLOOKUP(C490,Insumos!$A:$G,7,FALSE),100))</f>
      </c>
      <c r="G490" s="9">
        <f>IF(C490="","",IFERROR(VLOOKUP(C490,Insumos!$A:$J,10,FALSE),IFERROR(VLOOKUP(C490,Preparos!$A:$F,6,FALSE),IFERROR(VLOOKUP(C490,Fichas!$A:$D,4,FALSE),0))))</f>
      </c>
      <c r="H490" s="10">
        <f>IF(OR(D490="",G490="",F490=0),"",D490*G490*(100/F490))</f>
      </c>
      <c r="I490" s="5"/>
    </row>
    <row r="491" spans="1:9" x14ac:dyDescent="0.25">
      <c r="A491" s="7"/>
      <c r="B491" s="8">
        <f>IF(C491="","",IF(ISNUMBER(MATCH(C491,Insumos!$A:$A,0)),"insumo",IF(ISNUMBER(MATCH(C491,Preparos!$A:$A,0)),"preparo",IF(ISNUMBER(MATCH(C491,Fichas!$A:$A,0)),"ficha",""))))</f>
      </c>
      <c r="C491" s="7"/>
      <c r="D491" s="7"/>
      <c r="E491" s="8">
        <f>IF(C491="","",IFERROR(VLOOKUP(C491,Insumos!$A:$I,9,FALSE),IFERROR(VLOOKUP(C491,Preparos!$A:$D,4,FALSE),IFERROR(IF(ISNUMBER(MATCH(C491,Fichas!$A:$A,0)),"un",""),""))))</f>
      </c>
      <c r="F491" s="8">
        <f>IF(C491="","",IFERROR(VLOOKUP(C491,Insumos!$A:$G,7,FALSE),100))</f>
      </c>
      <c r="G491" s="9">
        <f>IF(C491="","",IFERROR(VLOOKUP(C491,Insumos!$A:$J,10,FALSE),IFERROR(VLOOKUP(C491,Preparos!$A:$F,6,FALSE),IFERROR(VLOOKUP(C491,Fichas!$A:$D,4,FALSE),0))))</f>
      </c>
      <c r="H491" s="10">
        <f>IF(OR(D491="",G491="",F491=0),"",D491*G491*(100/F491))</f>
      </c>
      <c r="I491" s="5"/>
    </row>
    <row r="492" spans="1:9" x14ac:dyDescent="0.25">
      <c r="A492" s="7"/>
      <c r="B492" s="8">
        <f>IF(C492="","",IF(ISNUMBER(MATCH(C492,Insumos!$A:$A,0)),"insumo",IF(ISNUMBER(MATCH(C492,Preparos!$A:$A,0)),"preparo",IF(ISNUMBER(MATCH(C492,Fichas!$A:$A,0)),"ficha",""))))</f>
      </c>
      <c r="C492" s="7"/>
      <c r="D492" s="7"/>
      <c r="E492" s="8">
        <f>IF(C492="","",IFERROR(VLOOKUP(C492,Insumos!$A:$I,9,FALSE),IFERROR(VLOOKUP(C492,Preparos!$A:$D,4,FALSE),IFERROR(IF(ISNUMBER(MATCH(C492,Fichas!$A:$A,0)),"un",""),""))))</f>
      </c>
      <c r="F492" s="8">
        <f>IF(C492="","",IFERROR(VLOOKUP(C492,Insumos!$A:$G,7,FALSE),100))</f>
      </c>
      <c r="G492" s="9">
        <f>IF(C492="","",IFERROR(VLOOKUP(C492,Insumos!$A:$J,10,FALSE),IFERROR(VLOOKUP(C492,Preparos!$A:$F,6,FALSE),IFERROR(VLOOKUP(C492,Fichas!$A:$D,4,FALSE),0))))</f>
      </c>
      <c r="H492" s="10">
        <f>IF(OR(D492="",G492="",F492=0),"",D492*G492*(100/F492))</f>
      </c>
      <c r="I492" s="5"/>
    </row>
    <row r="493" spans="1:9" x14ac:dyDescent="0.25">
      <c r="A493" s="7"/>
      <c r="B493" s="8">
        <f>IF(C493="","",IF(ISNUMBER(MATCH(C493,Insumos!$A:$A,0)),"insumo",IF(ISNUMBER(MATCH(C493,Preparos!$A:$A,0)),"preparo",IF(ISNUMBER(MATCH(C493,Fichas!$A:$A,0)),"ficha",""))))</f>
      </c>
      <c r="C493" s="7"/>
      <c r="D493" s="7"/>
      <c r="E493" s="8">
        <f>IF(C493="","",IFERROR(VLOOKUP(C493,Insumos!$A:$I,9,FALSE),IFERROR(VLOOKUP(C493,Preparos!$A:$D,4,FALSE),IFERROR(IF(ISNUMBER(MATCH(C493,Fichas!$A:$A,0)),"un",""),""))))</f>
      </c>
      <c r="F493" s="8">
        <f>IF(C493="","",IFERROR(VLOOKUP(C493,Insumos!$A:$G,7,FALSE),100))</f>
      </c>
      <c r="G493" s="9">
        <f>IF(C493="","",IFERROR(VLOOKUP(C493,Insumos!$A:$J,10,FALSE),IFERROR(VLOOKUP(C493,Preparos!$A:$F,6,FALSE),IFERROR(VLOOKUP(C493,Fichas!$A:$D,4,FALSE),0))))</f>
      </c>
      <c r="H493" s="10">
        <f>IF(OR(D493="",G493="",F493=0),"",D493*G493*(100/F493))</f>
      </c>
      <c r="I493" s="5"/>
    </row>
    <row r="494" spans="1:9" x14ac:dyDescent="0.25">
      <c r="A494" s="7"/>
      <c r="B494" s="8">
        <f>IF(C494="","",IF(ISNUMBER(MATCH(C494,Insumos!$A:$A,0)),"insumo",IF(ISNUMBER(MATCH(C494,Preparos!$A:$A,0)),"preparo",IF(ISNUMBER(MATCH(C494,Fichas!$A:$A,0)),"ficha",""))))</f>
      </c>
      <c r="C494" s="7"/>
      <c r="D494" s="7"/>
      <c r="E494" s="8">
        <f>IF(C494="","",IFERROR(VLOOKUP(C494,Insumos!$A:$I,9,FALSE),IFERROR(VLOOKUP(C494,Preparos!$A:$D,4,FALSE),IFERROR(IF(ISNUMBER(MATCH(C494,Fichas!$A:$A,0)),"un",""),""))))</f>
      </c>
      <c r="F494" s="8">
        <f>IF(C494="","",IFERROR(VLOOKUP(C494,Insumos!$A:$G,7,FALSE),100))</f>
      </c>
      <c r="G494" s="9">
        <f>IF(C494="","",IFERROR(VLOOKUP(C494,Insumos!$A:$J,10,FALSE),IFERROR(VLOOKUP(C494,Preparos!$A:$F,6,FALSE),IFERROR(VLOOKUP(C494,Fichas!$A:$D,4,FALSE),0))))</f>
      </c>
      <c r="H494" s="10">
        <f>IF(OR(D494="",G494="",F494=0),"",D494*G494*(100/F494))</f>
      </c>
      <c r="I494" s="5"/>
    </row>
    <row r="495" spans="1:9" x14ac:dyDescent="0.25">
      <c r="A495" s="7"/>
      <c r="B495" s="8">
        <f>IF(C495="","",IF(ISNUMBER(MATCH(C495,Insumos!$A:$A,0)),"insumo",IF(ISNUMBER(MATCH(C495,Preparos!$A:$A,0)),"preparo",IF(ISNUMBER(MATCH(C495,Fichas!$A:$A,0)),"ficha",""))))</f>
      </c>
      <c r="C495" s="7"/>
      <c r="D495" s="7"/>
      <c r="E495" s="8">
        <f>IF(C495="","",IFERROR(VLOOKUP(C495,Insumos!$A:$I,9,FALSE),IFERROR(VLOOKUP(C495,Preparos!$A:$D,4,FALSE),IFERROR(IF(ISNUMBER(MATCH(C495,Fichas!$A:$A,0)),"un",""),""))))</f>
      </c>
      <c r="F495" s="8">
        <f>IF(C495="","",IFERROR(VLOOKUP(C495,Insumos!$A:$G,7,FALSE),100))</f>
      </c>
      <c r="G495" s="9">
        <f>IF(C495="","",IFERROR(VLOOKUP(C495,Insumos!$A:$J,10,FALSE),IFERROR(VLOOKUP(C495,Preparos!$A:$F,6,FALSE),IFERROR(VLOOKUP(C495,Fichas!$A:$D,4,FALSE),0))))</f>
      </c>
      <c r="H495" s="10">
        <f>IF(OR(D495="",G495="",F495=0),"",D495*G495*(100/F495))</f>
      </c>
      <c r="I495" s="5"/>
    </row>
    <row r="496" spans="1:9" x14ac:dyDescent="0.25">
      <c r="A496" s="7"/>
      <c r="B496" s="8">
        <f>IF(C496="","",IF(ISNUMBER(MATCH(C496,Insumos!$A:$A,0)),"insumo",IF(ISNUMBER(MATCH(C496,Preparos!$A:$A,0)),"preparo",IF(ISNUMBER(MATCH(C496,Fichas!$A:$A,0)),"ficha",""))))</f>
      </c>
      <c r="C496" s="7"/>
      <c r="D496" s="7"/>
      <c r="E496" s="8">
        <f>IF(C496="","",IFERROR(VLOOKUP(C496,Insumos!$A:$I,9,FALSE),IFERROR(VLOOKUP(C496,Preparos!$A:$D,4,FALSE),IFERROR(IF(ISNUMBER(MATCH(C496,Fichas!$A:$A,0)),"un",""),""))))</f>
      </c>
      <c r="F496" s="8">
        <f>IF(C496="","",IFERROR(VLOOKUP(C496,Insumos!$A:$G,7,FALSE),100))</f>
      </c>
      <c r="G496" s="9">
        <f>IF(C496="","",IFERROR(VLOOKUP(C496,Insumos!$A:$J,10,FALSE),IFERROR(VLOOKUP(C496,Preparos!$A:$F,6,FALSE),IFERROR(VLOOKUP(C496,Fichas!$A:$D,4,FALSE),0))))</f>
      </c>
      <c r="H496" s="10">
        <f>IF(OR(D496="",G496="",F496=0),"",D496*G496*(100/F496))</f>
      </c>
      <c r="I496" s="5"/>
    </row>
    <row r="497" spans="1:9" x14ac:dyDescent="0.25">
      <c r="A497" s="7"/>
      <c r="B497" s="8">
        <f>IF(C497="","",IF(ISNUMBER(MATCH(C497,Insumos!$A:$A,0)),"insumo",IF(ISNUMBER(MATCH(C497,Preparos!$A:$A,0)),"preparo",IF(ISNUMBER(MATCH(C497,Fichas!$A:$A,0)),"ficha",""))))</f>
      </c>
      <c r="C497" s="7"/>
      <c r="D497" s="7"/>
      <c r="E497" s="8">
        <f>IF(C497="","",IFERROR(VLOOKUP(C497,Insumos!$A:$I,9,FALSE),IFERROR(VLOOKUP(C497,Preparos!$A:$D,4,FALSE),IFERROR(IF(ISNUMBER(MATCH(C497,Fichas!$A:$A,0)),"un",""),""))))</f>
      </c>
      <c r="F497" s="8">
        <f>IF(C497="","",IFERROR(VLOOKUP(C497,Insumos!$A:$G,7,FALSE),100))</f>
      </c>
      <c r="G497" s="9">
        <f>IF(C497="","",IFERROR(VLOOKUP(C497,Insumos!$A:$J,10,FALSE),IFERROR(VLOOKUP(C497,Preparos!$A:$F,6,FALSE),IFERROR(VLOOKUP(C497,Fichas!$A:$D,4,FALSE),0))))</f>
      </c>
      <c r="H497" s="10">
        <f>IF(OR(D497="",G497="",F497=0),"",D497*G497*(100/F497))</f>
      </c>
      <c r="I497" s="5"/>
    </row>
    <row r="498" spans="1:9" x14ac:dyDescent="0.25">
      <c r="A498" s="7"/>
      <c r="B498" s="8">
        <f>IF(C498="","",IF(ISNUMBER(MATCH(C498,Insumos!$A:$A,0)),"insumo",IF(ISNUMBER(MATCH(C498,Preparos!$A:$A,0)),"preparo",IF(ISNUMBER(MATCH(C498,Fichas!$A:$A,0)),"ficha",""))))</f>
      </c>
      <c r="C498" s="7"/>
      <c r="D498" s="7"/>
      <c r="E498" s="8">
        <f>IF(C498="","",IFERROR(VLOOKUP(C498,Insumos!$A:$I,9,FALSE),IFERROR(VLOOKUP(C498,Preparos!$A:$D,4,FALSE),IFERROR(IF(ISNUMBER(MATCH(C498,Fichas!$A:$A,0)),"un",""),""))))</f>
      </c>
      <c r="F498" s="8">
        <f>IF(C498="","",IFERROR(VLOOKUP(C498,Insumos!$A:$G,7,FALSE),100))</f>
      </c>
      <c r="G498" s="9">
        <f>IF(C498="","",IFERROR(VLOOKUP(C498,Insumos!$A:$J,10,FALSE),IFERROR(VLOOKUP(C498,Preparos!$A:$F,6,FALSE),IFERROR(VLOOKUP(C498,Fichas!$A:$D,4,FALSE),0))))</f>
      </c>
      <c r="H498" s="10">
        <f>IF(OR(D498="",G498="",F498=0),"",D498*G498*(100/F498))</f>
      </c>
      <c r="I498" s="5"/>
    </row>
    <row r="499" spans="1:9" x14ac:dyDescent="0.25">
      <c r="A499" s="7"/>
      <c r="B499" s="8">
        <f>IF(C499="","",IF(ISNUMBER(MATCH(C499,Insumos!$A:$A,0)),"insumo",IF(ISNUMBER(MATCH(C499,Preparos!$A:$A,0)),"preparo",IF(ISNUMBER(MATCH(C499,Fichas!$A:$A,0)),"ficha",""))))</f>
      </c>
      <c r="C499" s="7"/>
      <c r="D499" s="7"/>
      <c r="E499" s="8">
        <f>IF(C499="","",IFERROR(VLOOKUP(C499,Insumos!$A:$I,9,FALSE),IFERROR(VLOOKUP(C499,Preparos!$A:$D,4,FALSE),IFERROR(IF(ISNUMBER(MATCH(C499,Fichas!$A:$A,0)),"un",""),""))))</f>
      </c>
      <c r="F499" s="8">
        <f>IF(C499="","",IFERROR(VLOOKUP(C499,Insumos!$A:$G,7,FALSE),100))</f>
      </c>
      <c r="G499" s="9">
        <f>IF(C499="","",IFERROR(VLOOKUP(C499,Insumos!$A:$J,10,FALSE),IFERROR(VLOOKUP(C499,Preparos!$A:$F,6,FALSE),IFERROR(VLOOKUP(C499,Fichas!$A:$D,4,FALSE),0))))</f>
      </c>
      <c r="H499" s="10">
        <f>IF(OR(D499="",G499="",F499=0),"",D499*G499*(100/F499))</f>
      </c>
      <c r="I499" s="5"/>
    </row>
    <row r="500" spans="1:9" x14ac:dyDescent="0.25">
      <c r="A500" s="7"/>
      <c r="B500" s="8">
        <f>IF(C500="","",IF(ISNUMBER(MATCH(C500,Insumos!$A:$A,0)),"insumo",IF(ISNUMBER(MATCH(C500,Preparos!$A:$A,0)),"preparo",IF(ISNUMBER(MATCH(C500,Fichas!$A:$A,0)),"ficha",""))))</f>
      </c>
      <c r="C500" s="7"/>
      <c r="D500" s="7"/>
      <c r="E500" s="8">
        <f>IF(C500="","",IFERROR(VLOOKUP(C500,Insumos!$A:$I,9,FALSE),IFERROR(VLOOKUP(C500,Preparos!$A:$D,4,FALSE),IFERROR(IF(ISNUMBER(MATCH(C500,Fichas!$A:$A,0)),"un",""),""))))</f>
      </c>
      <c r="F500" s="8">
        <f>IF(C500="","",IFERROR(VLOOKUP(C500,Insumos!$A:$G,7,FALSE),100))</f>
      </c>
      <c r="G500" s="9">
        <f>IF(C500="","",IFERROR(VLOOKUP(C500,Insumos!$A:$J,10,FALSE),IFERROR(VLOOKUP(C500,Preparos!$A:$F,6,FALSE),IFERROR(VLOOKUP(C500,Fichas!$A:$D,4,FALSE),0))))</f>
      </c>
      <c r="H500" s="10">
        <f>IF(OR(D500="",G500="",F500=0),"",D500*G500*(100/F500))</f>
      </c>
      <c r="I500" s="5"/>
    </row>
  </sheetData>
  <dataValidations count="4">
    <dataValidation type="list" allowBlank="1" sqref="A10:A500">
      <formula1>=Fichas!$A$2:$A$500</formula1>
    </dataValidation>
    <dataValidation type="list" allowBlank="1" sqref="A2:A500">
      <formula1>=Fichas!$A$2:$A$500</formula1>
    </dataValidation>
    <dataValidation type="list" allowBlank="1" sqref="C10:C500">
      <formula1>=itens_combo</formula1>
    </dataValidation>
    <dataValidation type="list" allowBlank="1" sqref="C2:C500">
      <formula1>=itens_combo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FormatPr defaultRowHeight="15" outlineLevelRow="0" outlineLevelCol="0" x14ac:dyDescent="55"/>
  <cols>
    <col min="1" max="1" width="2" customWidth="1"/>
    <col min="2" max="2" width="22" customWidth="1"/>
    <col min="3" max="3" width="36" customWidth="1"/>
    <col min="4" max="4" width="14" customWidth="1"/>
    <col min="5" max="5" width="16" customWidth="1"/>
    <col min="6" max="6" width="2" customWidth="1"/>
  </cols>
  <sheetData>
    <row r="2" ht="30" customHeight="1" spans="2:5" x14ac:dyDescent="0.25">
      <c r="B2" s="12" t="s">
        <v>185</v>
      </c>
      <c r="C2" s="12"/>
      <c r="D2" s="12"/>
      <c r="E2" s="12"/>
    </row>
    <row r="4" ht="22" customHeight="1" spans="2:3" x14ac:dyDescent="0.25">
      <c r="B4" s="13" t="s">
        <v>186</v>
      </c>
      <c r="C4" s="14" t="s">
        <v>170</v>
      </c>
    </row>
    <row r="6" spans="2:3" x14ac:dyDescent="0.25">
      <c r="B6" s="13" t="s">
        <v>187</v>
      </c>
      <c r="C6" s="15">
        <f>IFERROR(VLOOKUP($C$4,Fichas!$A:$F,2,FALSE),"")</f>
      </c>
    </row>
    <row r="7" spans="2:3" x14ac:dyDescent="0.25">
      <c r="B7" s="13" t="s">
        <v>188</v>
      </c>
      <c r="C7" s="16">
        <f>IFERROR(VLOOKUP($C$4,Fichas!$A:$F,3,FALSE),"")</f>
      </c>
    </row>
    <row r="8" spans="2:3" x14ac:dyDescent="0.25">
      <c r="B8" s="13" t="s">
        <v>189</v>
      </c>
      <c r="C8" s="17">
        <f>IFERROR(VLOOKUP($C$4,Fichas!$A:$F,4,FALSE),"")</f>
      </c>
    </row>
    <row r="9" spans="2:3" x14ac:dyDescent="0.25">
      <c r="B9" s="13" t="s">
        <v>190</v>
      </c>
      <c r="C9" s="18">
        <f>IFERROR(VLOOKUP($C$4,Fichas!$A:$F,5,FALSE),"")</f>
      </c>
    </row>
    <row r="11" spans="2:5" x14ac:dyDescent="0.25">
      <c r="B11" s="19" t="s">
        <v>191</v>
      </c>
      <c r="C11" s="19"/>
      <c r="D11" s="20" t="s">
        <v>192</v>
      </c>
      <c r="E11" s="21" t="s">
        <v>193</v>
      </c>
    </row>
    <row r="12" spans="2:5" x14ac:dyDescent="0.25">
      <c r="B12" s="8">
        <f>IFERROR(INDEX(Composicao_Fichas!$C:$C,SMALL(IF(Composicao_Fichas!$A$2:$A$500=$C$4,ROW(Composicao_Fichas!$A$2:$A$500)),1)),"")</f>
      </c>
      <c r="C12" s="8"/>
      <c r="D12" s="22">
        <f>IF($B12="","",IFERROR(INDEX(Composicao_Fichas!$D:$D,SMALL(IF(Composicao_Fichas!$A$2:$A$500=$C$4,ROW(Composicao_Fichas!$A$2:$A$500)),1))&amp;" "&amp;INDEX(Composicao_Fichas!$E:$E,SMALL(IF(Composicao_Fichas!$A$2:$A$500=$C$4,ROW(Composicao_Fichas!$A$2:$A$500)),1)),""))</f>
      </c>
      <c r="E12" s="10">
        <f>IFERROR(INDEX(Composicao_Fichas!$H:$H,SMALL(IF(Composicao_Fichas!$A$2:$A$500=$C$4,ROW(Composicao_Fichas!$A$2:$A$500)),1)),"")</f>
      </c>
    </row>
    <row r="13" spans="2:5" x14ac:dyDescent="0.25">
      <c r="B13" s="8">
        <f>IFERROR(INDEX(Composicao_Fichas!$C:$C,SMALL(IF(Composicao_Fichas!$A$2:$A$500=$C$4,ROW(Composicao_Fichas!$A$2:$A$500)),2)),"")</f>
      </c>
      <c r="C13" s="8"/>
      <c r="D13" s="22">
        <f>IF($B13="","",IFERROR(INDEX(Composicao_Fichas!$D:$D,SMALL(IF(Composicao_Fichas!$A$2:$A$500=$C$4,ROW(Composicao_Fichas!$A$2:$A$500)),2))&amp;" "&amp;INDEX(Composicao_Fichas!$E:$E,SMALL(IF(Composicao_Fichas!$A$2:$A$500=$C$4,ROW(Composicao_Fichas!$A$2:$A$500)),2)),""))</f>
      </c>
      <c r="E13" s="10">
        <f>IFERROR(INDEX(Composicao_Fichas!$H:$H,SMALL(IF(Composicao_Fichas!$A$2:$A$500=$C$4,ROW(Composicao_Fichas!$A$2:$A$500)),2)),"")</f>
      </c>
    </row>
    <row r="14" spans="2:5" x14ac:dyDescent="0.25">
      <c r="B14" s="8">
        <f>IFERROR(INDEX(Composicao_Fichas!$C:$C,SMALL(IF(Composicao_Fichas!$A$2:$A$500=$C$4,ROW(Composicao_Fichas!$A$2:$A$500)),3)),"")</f>
      </c>
      <c r="C14" s="8"/>
      <c r="D14" s="22">
        <f>IF($B14="","",IFERROR(INDEX(Composicao_Fichas!$D:$D,SMALL(IF(Composicao_Fichas!$A$2:$A$500=$C$4,ROW(Composicao_Fichas!$A$2:$A$500)),3))&amp;" "&amp;INDEX(Composicao_Fichas!$E:$E,SMALL(IF(Composicao_Fichas!$A$2:$A$500=$C$4,ROW(Composicao_Fichas!$A$2:$A$500)),3)),""))</f>
      </c>
      <c r="E14" s="10">
        <f>IFERROR(INDEX(Composicao_Fichas!$H:$H,SMALL(IF(Composicao_Fichas!$A$2:$A$500=$C$4,ROW(Composicao_Fichas!$A$2:$A$500)),3)),"")</f>
      </c>
    </row>
    <row r="15" spans="2:5" x14ac:dyDescent="0.25">
      <c r="B15" s="8">
        <f>IFERROR(INDEX(Composicao_Fichas!$C:$C,SMALL(IF(Composicao_Fichas!$A$2:$A$500=$C$4,ROW(Composicao_Fichas!$A$2:$A$500)),4)),"")</f>
      </c>
      <c r="C15" s="8"/>
      <c r="D15" s="22">
        <f>IF($B15="","",IFERROR(INDEX(Composicao_Fichas!$D:$D,SMALL(IF(Composicao_Fichas!$A$2:$A$500=$C$4,ROW(Composicao_Fichas!$A$2:$A$500)),4))&amp;" "&amp;INDEX(Composicao_Fichas!$E:$E,SMALL(IF(Composicao_Fichas!$A$2:$A$500=$C$4,ROW(Composicao_Fichas!$A$2:$A$500)),4)),""))</f>
      </c>
      <c r="E15" s="10">
        <f>IFERROR(INDEX(Composicao_Fichas!$H:$H,SMALL(IF(Composicao_Fichas!$A$2:$A$500=$C$4,ROW(Composicao_Fichas!$A$2:$A$500)),4)),"")</f>
      </c>
    </row>
    <row r="16" spans="2:5" x14ac:dyDescent="0.25">
      <c r="B16" s="8">
        <f>IFERROR(INDEX(Composicao_Fichas!$C:$C,SMALL(IF(Composicao_Fichas!$A$2:$A$500=$C$4,ROW(Composicao_Fichas!$A$2:$A$500)),5)),"")</f>
      </c>
      <c r="C16" s="8"/>
      <c r="D16" s="22">
        <f>IF($B16="","",IFERROR(INDEX(Composicao_Fichas!$D:$D,SMALL(IF(Composicao_Fichas!$A$2:$A$500=$C$4,ROW(Composicao_Fichas!$A$2:$A$500)),5))&amp;" "&amp;INDEX(Composicao_Fichas!$E:$E,SMALL(IF(Composicao_Fichas!$A$2:$A$500=$C$4,ROW(Composicao_Fichas!$A$2:$A$500)),5)),""))</f>
      </c>
      <c r="E16" s="10">
        <f>IFERROR(INDEX(Composicao_Fichas!$H:$H,SMALL(IF(Composicao_Fichas!$A$2:$A$500=$C$4,ROW(Composicao_Fichas!$A$2:$A$500)),5)),"")</f>
      </c>
    </row>
    <row r="17" spans="2:5" x14ac:dyDescent="0.25">
      <c r="B17" s="8">
        <f>IFERROR(INDEX(Composicao_Fichas!$C:$C,SMALL(IF(Composicao_Fichas!$A$2:$A$500=$C$4,ROW(Composicao_Fichas!$A$2:$A$500)),6)),"")</f>
      </c>
      <c r="C17" s="8"/>
      <c r="D17" s="22">
        <f>IF($B17="","",IFERROR(INDEX(Composicao_Fichas!$D:$D,SMALL(IF(Composicao_Fichas!$A$2:$A$500=$C$4,ROW(Composicao_Fichas!$A$2:$A$500)),6))&amp;" "&amp;INDEX(Composicao_Fichas!$E:$E,SMALL(IF(Composicao_Fichas!$A$2:$A$500=$C$4,ROW(Composicao_Fichas!$A$2:$A$500)),6)),""))</f>
      </c>
      <c r="E17" s="10">
        <f>IFERROR(INDEX(Composicao_Fichas!$H:$H,SMALL(IF(Composicao_Fichas!$A$2:$A$500=$C$4,ROW(Composicao_Fichas!$A$2:$A$500)),6)),"")</f>
      </c>
    </row>
    <row r="18" spans="2:5" x14ac:dyDescent="0.25">
      <c r="B18" s="8">
        <f>IFERROR(INDEX(Composicao_Fichas!$C:$C,SMALL(IF(Composicao_Fichas!$A$2:$A$500=$C$4,ROW(Composicao_Fichas!$A$2:$A$500)),7)),"")</f>
      </c>
      <c r="C18" s="8"/>
      <c r="D18" s="22">
        <f>IF($B18="","",IFERROR(INDEX(Composicao_Fichas!$D:$D,SMALL(IF(Composicao_Fichas!$A$2:$A$500=$C$4,ROW(Composicao_Fichas!$A$2:$A$500)),7))&amp;" "&amp;INDEX(Composicao_Fichas!$E:$E,SMALL(IF(Composicao_Fichas!$A$2:$A$500=$C$4,ROW(Composicao_Fichas!$A$2:$A$500)),7)),""))</f>
      </c>
      <c r="E18" s="10">
        <f>IFERROR(INDEX(Composicao_Fichas!$H:$H,SMALL(IF(Composicao_Fichas!$A$2:$A$500=$C$4,ROW(Composicao_Fichas!$A$2:$A$500)),7)),"")</f>
      </c>
    </row>
    <row r="19" spans="2:5" x14ac:dyDescent="0.25">
      <c r="B19" s="8">
        <f>IFERROR(INDEX(Composicao_Fichas!$C:$C,SMALL(IF(Composicao_Fichas!$A$2:$A$500=$C$4,ROW(Composicao_Fichas!$A$2:$A$500)),8)),"")</f>
      </c>
      <c r="C19" s="8"/>
      <c r="D19" s="22">
        <f>IF($B19="","",IFERROR(INDEX(Composicao_Fichas!$D:$D,SMALL(IF(Composicao_Fichas!$A$2:$A$500=$C$4,ROW(Composicao_Fichas!$A$2:$A$500)),8))&amp;" "&amp;INDEX(Composicao_Fichas!$E:$E,SMALL(IF(Composicao_Fichas!$A$2:$A$500=$C$4,ROW(Composicao_Fichas!$A$2:$A$500)),8)),""))</f>
      </c>
      <c r="E19" s="10">
        <f>IFERROR(INDEX(Composicao_Fichas!$H:$H,SMALL(IF(Composicao_Fichas!$A$2:$A$500=$C$4,ROW(Composicao_Fichas!$A$2:$A$500)),8)),"")</f>
      </c>
    </row>
    <row r="20" spans="2:5" x14ac:dyDescent="0.25">
      <c r="B20" s="8">
        <f>IFERROR(INDEX(Composicao_Fichas!$C:$C,SMALL(IF(Composicao_Fichas!$A$2:$A$500=$C$4,ROW(Composicao_Fichas!$A$2:$A$500)),9)),"")</f>
      </c>
      <c r="C20" s="8"/>
      <c r="D20" s="22">
        <f>IF($B20="","",IFERROR(INDEX(Composicao_Fichas!$D:$D,SMALL(IF(Composicao_Fichas!$A$2:$A$500=$C$4,ROW(Composicao_Fichas!$A$2:$A$500)),9))&amp;" "&amp;INDEX(Composicao_Fichas!$E:$E,SMALL(IF(Composicao_Fichas!$A$2:$A$500=$C$4,ROW(Composicao_Fichas!$A$2:$A$500)),9)),""))</f>
      </c>
      <c r="E20" s="10">
        <f>IFERROR(INDEX(Composicao_Fichas!$H:$H,SMALL(IF(Composicao_Fichas!$A$2:$A$500=$C$4,ROW(Composicao_Fichas!$A$2:$A$500)),9)),"")</f>
      </c>
    </row>
    <row r="21" spans="2:5" x14ac:dyDescent="0.25">
      <c r="B21" s="8">
        <f>IFERROR(INDEX(Composicao_Fichas!$C:$C,SMALL(IF(Composicao_Fichas!$A$2:$A$500=$C$4,ROW(Composicao_Fichas!$A$2:$A$500)),10)),"")</f>
      </c>
      <c r="C21" s="8"/>
      <c r="D21" s="22">
        <f>IF($B21="","",IFERROR(INDEX(Composicao_Fichas!$D:$D,SMALL(IF(Composicao_Fichas!$A$2:$A$500=$C$4,ROW(Composicao_Fichas!$A$2:$A$500)),10))&amp;" "&amp;INDEX(Composicao_Fichas!$E:$E,SMALL(IF(Composicao_Fichas!$A$2:$A$500=$C$4,ROW(Composicao_Fichas!$A$2:$A$500)),10)),""))</f>
      </c>
      <c r="E21" s="10">
        <f>IFERROR(INDEX(Composicao_Fichas!$H:$H,SMALL(IF(Composicao_Fichas!$A$2:$A$500=$C$4,ROW(Composicao_Fichas!$A$2:$A$500)),10)),"")</f>
      </c>
    </row>
    <row r="22" spans="2:5" x14ac:dyDescent="0.25">
      <c r="B22" s="8">
        <f>IFERROR(INDEX(Composicao_Fichas!$C:$C,SMALL(IF(Composicao_Fichas!$A$2:$A$500=$C$4,ROW(Composicao_Fichas!$A$2:$A$500)),11)),"")</f>
      </c>
      <c r="C22" s="8"/>
      <c r="D22" s="22">
        <f>IF($B22="","",IFERROR(INDEX(Composicao_Fichas!$D:$D,SMALL(IF(Composicao_Fichas!$A$2:$A$500=$C$4,ROW(Composicao_Fichas!$A$2:$A$500)),11))&amp;" "&amp;INDEX(Composicao_Fichas!$E:$E,SMALL(IF(Composicao_Fichas!$A$2:$A$500=$C$4,ROW(Composicao_Fichas!$A$2:$A$500)),11)),""))</f>
      </c>
      <c r="E22" s="10">
        <f>IFERROR(INDEX(Composicao_Fichas!$H:$H,SMALL(IF(Composicao_Fichas!$A$2:$A$500=$C$4,ROW(Composicao_Fichas!$A$2:$A$500)),11)),"")</f>
      </c>
    </row>
    <row r="23" spans="2:5" x14ac:dyDescent="0.25">
      <c r="B23" s="8">
        <f>IFERROR(INDEX(Composicao_Fichas!$C:$C,SMALL(IF(Composicao_Fichas!$A$2:$A$500=$C$4,ROW(Composicao_Fichas!$A$2:$A$500)),12)),"")</f>
      </c>
      <c r="C23" s="8"/>
      <c r="D23" s="22">
        <f>IF($B23="","",IFERROR(INDEX(Composicao_Fichas!$D:$D,SMALL(IF(Composicao_Fichas!$A$2:$A$500=$C$4,ROW(Composicao_Fichas!$A$2:$A$500)),12))&amp;" "&amp;INDEX(Composicao_Fichas!$E:$E,SMALL(IF(Composicao_Fichas!$A$2:$A$500=$C$4,ROW(Composicao_Fichas!$A$2:$A$500)),12)),""))</f>
      </c>
      <c r="E23" s="10">
        <f>IFERROR(INDEX(Composicao_Fichas!$H:$H,SMALL(IF(Composicao_Fichas!$A$2:$A$500=$C$4,ROW(Composicao_Fichas!$A$2:$A$500)),12)),"")</f>
      </c>
    </row>
    <row r="24" spans="2:5" x14ac:dyDescent="0.25">
      <c r="B24" s="8">
        <f>IFERROR(INDEX(Composicao_Fichas!$C:$C,SMALL(IF(Composicao_Fichas!$A$2:$A$500=$C$4,ROW(Composicao_Fichas!$A$2:$A$500)),13)),"")</f>
      </c>
      <c r="C24" s="8"/>
      <c r="D24" s="22">
        <f>IF($B24="","",IFERROR(INDEX(Composicao_Fichas!$D:$D,SMALL(IF(Composicao_Fichas!$A$2:$A$500=$C$4,ROW(Composicao_Fichas!$A$2:$A$500)),13))&amp;" "&amp;INDEX(Composicao_Fichas!$E:$E,SMALL(IF(Composicao_Fichas!$A$2:$A$500=$C$4,ROW(Composicao_Fichas!$A$2:$A$500)),13)),""))</f>
      </c>
      <c r="E24" s="10">
        <f>IFERROR(INDEX(Composicao_Fichas!$H:$H,SMALL(IF(Composicao_Fichas!$A$2:$A$500=$C$4,ROW(Composicao_Fichas!$A$2:$A$500)),13)),"")</f>
      </c>
    </row>
    <row r="25" spans="2:5" x14ac:dyDescent="0.25">
      <c r="B25" s="8">
        <f>IFERROR(INDEX(Composicao_Fichas!$C:$C,SMALL(IF(Composicao_Fichas!$A$2:$A$500=$C$4,ROW(Composicao_Fichas!$A$2:$A$500)),14)),"")</f>
      </c>
      <c r="C25" s="8"/>
      <c r="D25" s="22">
        <f>IF($B25="","",IFERROR(INDEX(Composicao_Fichas!$D:$D,SMALL(IF(Composicao_Fichas!$A$2:$A$500=$C$4,ROW(Composicao_Fichas!$A$2:$A$500)),14))&amp;" "&amp;INDEX(Composicao_Fichas!$E:$E,SMALL(IF(Composicao_Fichas!$A$2:$A$500=$C$4,ROW(Composicao_Fichas!$A$2:$A$500)),14)),""))</f>
      </c>
      <c r="E25" s="10">
        <f>IFERROR(INDEX(Composicao_Fichas!$H:$H,SMALL(IF(Composicao_Fichas!$A$2:$A$500=$C$4,ROW(Composicao_Fichas!$A$2:$A$500)),14)),"")</f>
      </c>
    </row>
    <row r="26" spans="2:5" x14ac:dyDescent="0.25">
      <c r="B26" s="8">
        <f>IFERROR(INDEX(Composicao_Fichas!$C:$C,SMALL(IF(Composicao_Fichas!$A$2:$A$500=$C$4,ROW(Composicao_Fichas!$A$2:$A$500)),15)),"")</f>
      </c>
      <c r="C26" s="8"/>
      <c r="D26" s="22">
        <f>IF($B26="","",IFERROR(INDEX(Composicao_Fichas!$D:$D,SMALL(IF(Composicao_Fichas!$A$2:$A$500=$C$4,ROW(Composicao_Fichas!$A$2:$A$500)),15))&amp;" "&amp;INDEX(Composicao_Fichas!$E:$E,SMALL(IF(Composicao_Fichas!$A$2:$A$500=$C$4,ROW(Composicao_Fichas!$A$2:$A$500)),15)),""))</f>
      </c>
      <c r="E26" s="10">
        <f>IFERROR(INDEX(Composicao_Fichas!$H:$H,SMALL(IF(Composicao_Fichas!$A$2:$A$500=$C$4,ROW(Composicao_Fichas!$A$2:$A$500)),15)),"")</f>
      </c>
    </row>
    <row r="27" spans="2:5" x14ac:dyDescent="0.25">
      <c r="B27" s="8">
        <f>IFERROR(INDEX(Composicao_Fichas!$C:$C,SMALL(IF(Composicao_Fichas!$A$2:$A$500=$C$4,ROW(Composicao_Fichas!$A$2:$A$500)),16)),"")</f>
      </c>
      <c r="C27" s="8"/>
      <c r="D27" s="22">
        <f>IF($B27="","",IFERROR(INDEX(Composicao_Fichas!$D:$D,SMALL(IF(Composicao_Fichas!$A$2:$A$500=$C$4,ROW(Composicao_Fichas!$A$2:$A$500)),16))&amp;" "&amp;INDEX(Composicao_Fichas!$E:$E,SMALL(IF(Composicao_Fichas!$A$2:$A$500=$C$4,ROW(Composicao_Fichas!$A$2:$A$500)),16)),""))</f>
      </c>
      <c r="E27" s="10">
        <f>IFERROR(INDEX(Composicao_Fichas!$H:$H,SMALL(IF(Composicao_Fichas!$A$2:$A$500=$C$4,ROW(Composicao_Fichas!$A$2:$A$500)),16)),"")</f>
      </c>
    </row>
    <row r="28" spans="2:5" x14ac:dyDescent="0.25">
      <c r="B28" s="8">
        <f>IFERROR(INDEX(Composicao_Fichas!$C:$C,SMALL(IF(Composicao_Fichas!$A$2:$A$500=$C$4,ROW(Composicao_Fichas!$A$2:$A$500)),17)),"")</f>
      </c>
      <c r="C28" s="8"/>
      <c r="D28" s="22">
        <f>IF($B28="","",IFERROR(INDEX(Composicao_Fichas!$D:$D,SMALL(IF(Composicao_Fichas!$A$2:$A$500=$C$4,ROW(Composicao_Fichas!$A$2:$A$500)),17))&amp;" "&amp;INDEX(Composicao_Fichas!$E:$E,SMALL(IF(Composicao_Fichas!$A$2:$A$500=$C$4,ROW(Composicao_Fichas!$A$2:$A$500)),17)),""))</f>
      </c>
      <c r="E28" s="10">
        <f>IFERROR(INDEX(Composicao_Fichas!$H:$H,SMALL(IF(Composicao_Fichas!$A$2:$A$500=$C$4,ROW(Composicao_Fichas!$A$2:$A$500)),17)),"")</f>
      </c>
    </row>
    <row r="29" spans="2:5" x14ac:dyDescent="0.25">
      <c r="B29" s="8">
        <f>IFERROR(INDEX(Composicao_Fichas!$C:$C,SMALL(IF(Composicao_Fichas!$A$2:$A$500=$C$4,ROW(Composicao_Fichas!$A$2:$A$500)),18)),"")</f>
      </c>
      <c r="C29" s="8"/>
      <c r="D29" s="22">
        <f>IF($B29="","",IFERROR(INDEX(Composicao_Fichas!$D:$D,SMALL(IF(Composicao_Fichas!$A$2:$A$500=$C$4,ROW(Composicao_Fichas!$A$2:$A$500)),18))&amp;" "&amp;INDEX(Composicao_Fichas!$E:$E,SMALL(IF(Composicao_Fichas!$A$2:$A$500=$C$4,ROW(Composicao_Fichas!$A$2:$A$500)),18)),""))</f>
      </c>
      <c r="E29" s="10">
        <f>IFERROR(INDEX(Composicao_Fichas!$H:$H,SMALL(IF(Composicao_Fichas!$A$2:$A$500=$C$4,ROW(Composicao_Fichas!$A$2:$A$500)),18)),"")</f>
      </c>
    </row>
    <row r="30" spans="2:5" x14ac:dyDescent="0.25">
      <c r="B30" s="8">
        <f>IFERROR(INDEX(Composicao_Fichas!$C:$C,SMALL(IF(Composicao_Fichas!$A$2:$A$500=$C$4,ROW(Composicao_Fichas!$A$2:$A$500)),19)),"")</f>
      </c>
      <c r="C30" s="8"/>
      <c r="D30" s="22">
        <f>IF($B30="","",IFERROR(INDEX(Composicao_Fichas!$D:$D,SMALL(IF(Composicao_Fichas!$A$2:$A$500=$C$4,ROW(Composicao_Fichas!$A$2:$A$500)),19))&amp;" "&amp;INDEX(Composicao_Fichas!$E:$E,SMALL(IF(Composicao_Fichas!$A$2:$A$500=$C$4,ROW(Composicao_Fichas!$A$2:$A$500)),19)),""))</f>
      </c>
      <c r="E30" s="10">
        <f>IFERROR(INDEX(Composicao_Fichas!$H:$H,SMALL(IF(Composicao_Fichas!$A$2:$A$500=$C$4,ROW(Composicao_Fichas!$A$2:$A$500)),19)),"")</f>
      </c>
    </row>
    <row r="31" spans="2:5" x14ac:dyDescent="0.25">
      <c r="B31" s="8">
        <f>IFERROR(INDEX(Composicao_Fichas!$C:$C,SMALL(IF(Composicao_Fichas!$A$2:$A$500=$C$4,ROW(Composicao_Fichas!$A$2:$A$500)),20)),"")</f>
      </c>
      <c r="C31" s="8"/>
      <c r="D31" s="22">
        <f>IF($B31="","",IFERROR(INDEX(Composicao_Fichas!$D:$D,SMALL(IF(Composicao_Fichas!$A$2:$A$500=$C$4,ROW(Composicao_Fichas!$A$2:$A$500)),20))&amp;" "&amp;INDEX(Composicao_Fichas!$E:$E,SMALL(IF(Composicao_Fichas!$A$2:$A$500=$C$4,ROW(Composicao_Fichas!$A$2:$A$500)),20)),""))</f>
      </c>
      <c r="E31" s="10">
        <f>IFERROR(INDEX(Composicao_Fichas!$H:$H,SMALL(IF(Composicao_Fichas!$A$2:$A$500=$C$4,ROW(Composicao_Fichas!$A$2:$A$500)),20)),"")</f>
      </c>
    </row>
  </sheetData>
  <mergeCells count="22">
    <mergeCell ref="B2:E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</mergeCells>
  <dataValidations count="1">
    <dataValidation type="list" allowBlank="1" sqref="C4">
      <formula1>=Fichas!$A$2:$A$500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6" customWidth="1"/>
    <col min="2" max="2" width="24" customWidth="1"/>
    <col min="3" max="3" width="60" customWidth="1"/>
  </cols>
  <sheetData>
    <row r="1" ht="28" customHeight="1" spans="1:3" x14ac:dyDescent="0.25">
      <c r="A1" s="23" t="s">
        <v>194</v>
      </c>
      <c r="B1" s="23"/>
      <c r="C1" s="23"/>
    </row>
    <row r="3" spans="1:3" x14ac:dyDescent="0.25">
      <c r="A3" s="24" t="s">
        <v>195</v>
      </c>
      <c r="B3" s="24" t="s">
        <v>112</v>
      </c>
      <c r="C3" s="24" t="s">
        <v>196</v>
      </c>
    </row>
    <row r="4" spans="1:3" x14ac:dyDescent="0.25">
      <c r="A4" s="25">
        <f>IF(COUNTIFS(Insumos!F:F,"&lt;=0",Insumos!A:A,"&lt;&gt;")&gt;0,"🔴","✅")</f>
      </c>
      <c r="B4" s="25" t="s">
        <v>197</v>
      </c>
      <c r="C4" s="26">
        <f>"Insumos sem preço: "&amp;COUNTIFS(Insumos!F:F,"&lt;=0",Insumos!A:A,"&lt;&gt;")&amp;" (corrija na aba Insumos)"</f>
      </c>
    </row>
    <row r="5" spans="1:3" x14ac:dyDescent="0.25">
      <c r="A5" s="25">
        <f>IF(COUNTIFS(Preparos!C:C,"&lt;=0",Preparos!A:A,"&lt;&gt;")&gt;0,"🔴","✅")</f>
      </c>
      <c r="B5" s="25" t="s">
        <v>197</v>
      </c>
      <c r="C5" s="26">
        <f>"Preparos sem rendimento: "&amp;COUNTIFS(Preparos!C:C,"&lt;=0",Preparos!A:A,"&lt;&gt;")&amp;" (corrija na aba Preparos)"</f>
      </c>
    </row>
    <row r="6" spans="1:3" x14ac:dyDescent="0.25">
      <c r="A6" s="25">
        <f>IF(COUNTIFS(Fichas!C:C,"&lt;=0",Fichas!A:A,"&lt;&gt;")&gt;0,"🔴","✅")</f>
      </c>
      <c r="B6" s="25" t="s">
        <v>197</v>
      </c>
      <c r="C6" s="26">
        <f>"Fichas sem preço de venda: "&amp;COUNTIFS(Fichas!C:C,"&lt;=0",Fichas!A:A,"&lt;&gt;")&amp;" (corrija na aba Fichas)"</f>
      </c>
    </row>
    <row r="7" spans="1:3" x14ac:dyDescent="0.25">
      <c r="A7" s="25">
        <f>IF(SUMPRODUCT((Composicao_Preparos!C2:C500&lt;&gt;"")*(Composicao_Preparos!B2:B500=""))&gt;0,"🔴","✅")</f>
      </c>
      <c r="B7" s="25" t="s">
        <v>197</v>
      </c>
      <c r="C7" s="26">
        <f>"Comp_Preparos com Item não encontrado: "&amp;SUMPRODUCT((Composicao_Preparos!C2:C500&lt;&gt;"")*(Composicao_Preparos!B2:B500=""))</f>
      </c>
    </row>
    <row r="8" spans="1:3" x14ac:dyDescent="0.25">
      <c r="A8" s="25">
        <f>IF(SUMPRODUCT((Composicao_Fichas!C2:C500&lt;&gt;"")*(Composicao_Fichas!B2:B500=""))&gt;0,"🔴","✅")</f>
      </c>
      <c r="B8" s="25" t="s">
        <v>197</v>
      </c>
      <c r="C8" s="26">
        <f>"Comp_Fichas com Item não encontrado: "&amp;SUMPRODUCT((Composicao_Fichas!C2:C500&lt;&gt;"")*(Composicao_Fichas!B2:B500=""))</f>
      </c>
    </row>
    <row r="9" spans="1:3" x14ac:dyDescent="0.25">
      <c r="A9" s="25">
        <f>IF(SUMPRODUCT((Fichas!E2:E500&lt;&gt;"")*((Fichas!E2:E500&lt;0.05)+(Fichas!E2:E500&gt;0.7)))&gt;0,"🟡","✅")</f>
      </c>
      <c r="B9" s="25" t="s">
        <v>198</v>
      </c>
      <c r="C9" s="26">
        <f>"Fichas com CMV impossível (&lt;5% ou &gt;70%): "&amp;SUMPRODUCT((Fichas!E2:E500&lt;&gt;"")*((Fichas!E2:E500&lt;0.05)+(Fichas!E2:E500&gt;0.7)))</f>
      </c>
    </row>
    <row r="10" spans="1:3" x14ac:dyDescent="0.25">
      <c r="A10" s="25">
        <f>IF(SUMPRODUCT((Preparos!A2:A500&lt;&gt;"")*(COUNTIF(Composicao_Preparos!A:A,Preparos!A2:A500)=0))&gt;0,"🟡","✅")</f>
      </c>
      <c r="B10" s="25" t="s">
        <v>198</v>
      </c>
      <c r="C10" s="26">
        <f>"Preparos sem composição: "&amp;SUMPRODUCT((Preparos!A2:A500&lt;&gt;"")*(COUNTIF(Composicao_Preparos!A:A,Preparos!A2:A500)=0))</f>
      </c>
    </row>
    <row r="11" spans="1:3" x14ac:dyDescent="0.25">
      <c r="A11" s="25">
        <f>IF(SUMPRODUCT((Fichas!A2:A500&lt;&gt;"")*(COUNTIF(Composicao_Fichas!A:A,Fichas!A2:A500)=0))&gt;0,"🟡","✅")</f>
      </c>
      <c r="B11" s="25" t="s">
        <v>198</v>
      </c>
      <c r="C11" s="26">
        <f>"Fichas sem composição: "&amp;SUMPRODUCT((Fichas!A2:A500&lt;&gt;"")*(COUNTIF(Composicao_Fichas!A:A,Fichas!A2:A500)=0))</f>
      </c>
    </row>
    <row r="14" spans="1:3" x14ac:dyDescent="0.25">
      <c r="A14" s="27">
        <f>"Total: "&amp;COUNTA(Insumos!A2:A500)&amp;" insumos, "&amp;COUNTA(Preparos!A2:A500)&amp;" preparos, "&amp;COUNTA(Fichas!A2:A500)&amp;" fichas"</f>
      </c>
      <c r="B14" s="27"/>
      <c r="C14" s="27"/>
    </row>
  </sheetData>
  <mergeCells count="2">
    <mergeCell ref="A1:C1"/>
    <mergeCell ref="A14:C14"/>
  </mergeCells>
  <conditionalFormatting sqref="A4:C11">
    <cfRule type="expression" dxfId="4" priority="1">
      <formula>$A4="🔴"</formula>
    </cfRule>
    <cfRule type="expression" dxfId="5" priority="2">
      <formula>$A4="🟡"</formula>
    </cfRule>
    <cfRule type="expression" dxfId="6" priority="3">
      <formula>$A4="✅"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_Leia-me</vt:lpstr>
      <vt:lpstr>_Categorias</vt:lpstr>
      <vt:lpstr>Insumos</vt:lpstr>
      <vt:lpstr>Preparos</vt:lpstr>
      <vt:lpstr>Fichas</vt:lpstr>
      <vt:lpstr>_ref_itens</vt:lpstr>
      <vt:lpstr>Composicao_Preparos</vt:lpstr>
      <vt:lpstr>Composicao_Fichas</vt:lpstr>
      <vt:lpstr>Ver_Ficha</vt:lpstr>
      <vt:lpstr>_Validação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Gastão</dc:creator>
  <dc:title/>
  <dc:subject/>
  <dc:description/>
  <cp:keywords/>
  <cp:category/>
  <cp:lastModifiedBy>Unknown</cp:lastModifiedBy>
  <dcterms:created xsi:type="dcterms:W3CDTF">2026-05-14T05:10:57Z</dcterms:created>
  <dcterms:modified xsi:type="dcterms:W3CDTF">2026-05-14T05:10:57Z</dcterms:modified>
</cp:coreProperties>
</file>